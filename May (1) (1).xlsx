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filterPrivacy="1" defaultThemeVersion="124226"/>
  <xr:revisionPtr revIDLastSave="0" documentId="13_ncr:1_{0CB5B107-7D6F-FE48-BA02-5B717CA53D82}" xr6:coauthVersionLast="47" xr6:coauthVersionMax="47" xr10:uidLastSave="{00000000-0000-0000-0000-000000000000}"/>
  <bookViews>
    <workbookView xWindow="0" yWindow="500" windowWidth="27320" windowHeight="13440" activeTab="2" xr2:uid="{00000000-000D-0000-FFFF-FFFF00000000}"/>
  </bookViews>
  <sheets>
    <sheet name="STR 02 Mar" sheetId="6" r:id="rId1"/>
    <sheet name="FLR 02 May" sheetId="1" r:id="rId2"/>
    <sheet name="FR 02 May" sheetId="7" r:id="rId3"/>
    <sheet name="AR 03 Feb" sheetId="9" r:id="rId4"/>
    <sheet name="CR 06" sheetId="11" r:id="rId5"/>
    <sheet name="CBR 03 Feb" sheetId="17" r:id="rId6"/>
    <sheet name="PR 06 AD31" sheetId="12" r:id="rId7"/>
    <sheet name="PR 07 AD31" sheetId="15" r:id="rId8"/>
    <sheet name="PR 09 AD31" sheetId="16" r:id="rId9"/>
  </sheets>
  <definedNames>
    <definedName name="_xlnm._FilterDatabase" localSheetId="3" hidden="1">'AR 03 Feb'!$E$1:$E$57</definedName>
    <definedName name="_xlnm._FilterDatabase" localSheetId="5" hidden="1">'CBR 03 Feb'!$E$5:$E$23</definedName>
    <definedName name="_xlnm._FilterDatabase" localSheetId="4" hidden="1">'CR 06'!$J$6:$J$23</definedName>
    <definedName name="_xlnm._FilterDatabase" localSheetId="1" hidden="1">'FLR 02 May'!$E$1:$E$541</definedName>
    <definedName name="_xlnm._FilterDatabase" localSheetId="2" hidden="1">'FR 02 May'!$E$1:$E$31</definedName>
    <definedName name="_xlnm._FilterDatabase" localSheetId="6" hidden="1">'PR 06 AD31'!$K$1:$K$74</definedName>
    <definedName name="_xlnm._FilterDatabase" localSheetId="7" hidden="1">'PR 07 AD31'!$K$1:$K$72</definedName>
    <definedName name="_xlnm._FilterDatabase" localSheetId="8" hidden="1">'PR 09 AD31'!$K$1:$K$35</definedName>
    <definedName name="_xlnm._FilterDatabase" localSheetId="0" hidden="1">'STR 02 Mar'!$K$1:$K$108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 a="1"/>
  <c r="H25" i="1" s="1"/>
  <c r="K5" i="15"/>
  <c r="K8" i="15" l="1"/>
  <c r="K46" i="15"/>
  <c r="K45" i="15"/>
  <c r="K44" i="15"/>
  <c r="M44" i="15" s="1"/>
  <c r="K41" i="9" l="1"/>
  <c r="H34" i="7" a="1"/>
  <c r="H34" i="7" s="1"/>
  <c r="Q41" i="9" l="1"/>
  <c r="M41" i="9"/>
  <c r="K38" i="7"/>
  <c r="K37" i="7"/>
  <c r="K34" i="7"/>
  <c r="K36" i="7"/>
  <c r="K39" i="7"/>
  <c r="K35" i="7"/>
  <c r="K41" i="7" l="1"/>
  <c r="K14" i="9" l="1"/>
  <c r="P57" i="6"/>
  <c r="M57" i="6"/>
  <c r="K27" i="1" l="1"/>
  <c r="H48" i="9" a="1"/>
  <c r="H48" i="9" s="1"/>
  <c r="K35" i="15"/>
  <c r="M35" i="15" s="1"/>
  <c r="K6" i="7"/>
  <c r="K43" i="15" l="1"/>
  <c r="M43" i="15" s="1"/>
  <c r="K40" i="9"/>
  <c r="K39" i="9"/>
  <c r="K23" i="7"/>
  <c r="P23" i="7" s="1"/>
  <c r="K8" i="6"/>
  <c r="K56" i="6"/>
  <c r="K15" i="6"/>
  <c r="M15" i="6" s="1"/>
  <c r="K16" i="6"/>
  <c r="M16" i="6" s="1"/>
  <c r="K17" i="6"/>
  <c r="M17" i="6" s="1"/>
  <c r="K18" i="6"/>
  <c r="M18" i="6" s="1"/>
  <c r="K19" i="6"/>
  <c r="M19" i="6" s="1"/>
  <c r="K20" i="6"/>
  <c r="M20" i="6" s="1"/>
  <c r="K21" i="6"/>
  <c r="P21" i="6" s="1"/>
  <c r="K22" i="6"/>
  <c r="P22" i="6" s="1"/>
  <c r="K23" i="6"/>
  <c r="M23" i="6" s="1"/>
  <c r="K24" i="6"/>
  <c r="M24" i="6" s="1"/>
  <c r="K25" i="6"/>
  <c r="M25" i="6" s="1"/>
  <c r="K26" i="6"/>
  <c r="M26" i="6" s="1"/>
  <c r="K27" i="6"/>
  <c r="M27" i="6" s="1"/>
  <c r="K28" i="6"/>
  <c r="M28" i="6" s="1"/>
  <c r="K29" i="6"/>
  <c r="M29" i="6" s="1"/>
  <c r="K30" i="6"/>
  <c r="M30" i="6" s="1"/>
  <c r="K31" i="6"/>
  <c r="M31" i="6" s="1"/>
  <c r="K32" i="6"/>
  <c r="M32" i="6" s="1"/>
  <c r="K33" i="6"/>
  <c r="M33" i="6" s="1"/>
  <c r="K34" i="6"/>
  <c r="M34" i="6" s="1"/>
  <c r="K35" i="6"/>
  <c r="M35" i="6" s="1"/>
  <c r="K36" i="6"/>
  <c r="M36" i="6" s="1"/>
  <c r="K37" i="6"/>
  <c r="P37" i="6" s="1"/>
  <c r="K38" i="6"/>
  <c r="M38" i="6" s="1"/>
  <c r="K39" i="6"/>
  <c r="P39" i="6" s="1"/>
  <c r="K40" i="6"/>
  <c r="M40" i="6" s="1"/>
  <c r="K41" i="6"/>
  <c r="P41" i="6" s="1"/>
  <c r="K42" i="6"/>
  <c r="M42" i="6" s="1"/>
  <c r="K43" i="6"/>
  <c r="M43" i="6" s="1"/>
  <c r="K44" i="6"/>
  <c r="M44" i="6" s="1"/>
  <c r="K45" i="6"/>
  <c r="M45" i="6" s="1"/>
  <c r="K46" i="6"/>
  <c r="M46" i="6" s="1"/>
  <c r="K47" i="6"/>
  <c r="M47" i="6" s="1"/>
  <c r="K48" i="6"/>
  <c r="M48" i="6" s="1"/>
  <c r="K49" i="6"/>
  <c r="M49" i="6" s="1"/>
  <c r="K50" i="6"/>
  <c r="M50" i="6" s="1"/>
  <c r="K51" i="6"/>
  <c r="M51" i="6" s="1"/>
  <c r="K52" i="6"/>
  <c r="P52" i="6" s="1"/>
  <c r="K53" i="6"/>
  <c r="M53" i="6" s="1"/>
  <c r="K54" i="6"/>
  <c r="M54" i="6" s="1"/>
  <c r="K55" i="6"/>
  <c r="M55" i="6" s="1"/>
  <c r="Q39" i="9" l="1"/>
  <c r="M39" i="9"/>
  <c r="Q40" i="9"/>
  <c r="M40" i="9"/>
  <c r="P56" i="6"/>
  <c r="M56" i="6"/>
  <c r="P17" i="6"/>
  <c r="M41" i="6"/>
  <c r="P38" i="6"/>
  <c r="P29" i="6"/>
  <c r="P25" i="6"/>
  <c r="M22" i="6"/>
  <c r="P45" i="6"/>
  <c r="P42" i="6"/>
  <c r="M37" i="6"/>
  <c r="P34" i="6"/>
  <c r="P54" i="6"/>
  <c r="M21" i="6"/>
  <c r="P18" i="6"/>
  <c r="P49" i="6"/>
  <c r="P53" i="6"/>
  <c r="P46" i="6"/>
  <c r="P33" i="6"/>
  <c r="P26" i="6"/>
  <c r="P50" i="6"/>
  <c r="M39" i="6"/>
  <c r="P30" i="6"/>
  <c r="M52" i="6"/>
  <c r="P55" i="6"/>
  <c r="P51" i="6"/>
  <c r="P47" i="6"/>
  <c r="P43" i="6"/>
  <c r="P35" i="6"/>
  <c r="P31" i="6"/>
  <c r="P27" i="6"/>
  <c r="P23" i="6"/>
  <c r="P19" i="6"/>
  <c r="P15" i="6"/>
  <c r="P48" i="6"/>
  <c r="P44" i="6"/>
  <c r="P40" i="6"/>
  <c r="P36" i="6"/>
  <c r="P32" i="6"/>
  <c r="P28" i="6"/>
  <c r="P24" i="6"/>
  <c r="P20" i="6"/>
  <c r="P16" i="6"/>
  <c r="K70" i="12"/>
  <c r="J60" i="6" l="1" a="1"/>
  <c r="J60" i="6" s="1"/>
  <c r="K9" i="6"/>
  <c r="K7" i="15" l="1"/>
  <c r="K38" i="15"/>
  <c r="M38" i="15" s="1"/>
  <c r="K39" i="15"/>
  <c r="M39" i="15" s="1"/>
  <c r="K40" i="15"/>
  <c r="M40" i="15" s="1"/>
  <c r="K41" i="15"/>
  <c r="M41" i="15" s="1"/>
  <c r="K42" i="15"/>
  <c r="M42" i="15" s="1"/>
  <c r="K21" i="15"/>
  <c r="M21" i="15" s="1"/>
  <c r="K26" i="1" l="1"/>
  <c r="K25" i="1"/>
  <c r="K28" i="1"/>
  <c r="K34" i="16"/>
  <c r="N34" i="16" s="1"/>
  <c r="K33" i="16"/>
  <c r="N33" i="16" s="1"/>
  <c r="K32" i="16"/>
  <c r="N32" i="16" s="1"/>
  <c r="K23" i="16"/>
  <c r="N23" i="16" s="1"/>
  <c r="K24" i="16"/>
  <c r="N24" i="16" s="1"/>
  <c r="K19" i="11"/>
  <c r="M19" i="11" s="1"/>
  <c r="K21" i="17"/>
  <c r="P21" i="17" s="1"/>
  <c r="W20" i="17"/>
  <c r="K20" i="17"/>
  <c r="P20" i="17" s="1"/>
  <c r="W19" i="17"/>
  <c r="K19" i="17"/>
  <c r="P19" i="17" s="1"/>
  <c r="W18" i="17"/>
  <c r="K18" i="17"/>
  <c r="P18" i="17" s="1"/>
  <c r="W17" i="17"/>
  <c r="K17" i="17"/>
  <c r="P17" i="17" s="1"/>
  <c r="W16" i="17"/>
  <c r="K16" i="17"/>
  <c r="P16" i="17" s="1"/>
  <c r="W15" i="17"/>
  <c r="K15" i="17"/>
  <c r="P15" i="17" s="1"/>
  <c r="W14" i="17"/>
  <c r="K14" i="17"/>
  <c r="P14" i="17" s="1"/>
  <c r="W13" i="17"/>
  <c r="K13" i="17"/>
  <c r="P13" i="17" s="1"/>
  <c r="W12" i="17"/>
  <c r="K12" i="17"/>
  <c r="P12" i="17" s="1"/>
  <c r="W11" i="17"/>
  <c r="K11" i="17"/>
  <c r="P11" i="17" s="1"/>
  <c r="W10" i="17"/>
  <c r="K10" i="17"/>
  <c r="P10" i="17" s="1"/>
  <c r="W9" i="17"/>
  <c r="K9" i="17"/>
  <c r="P9" i="17" s="1"/>
  <c r="W8" i="17"/>
  <c r="K8" i="17"/>
  <c r="P8" i="17" s="1"/>
  <c r="W7" i="17"/>
  <c r="K7" i="17"/>
  <c r="P7" i="17" s="1"/>
  <c r="W6" i="17"/>
  <c r="K6" i="17"/>
  <c r="P6" i="17" s="1"/>
  <c r="W5" i="17"/>
  <c r="K5" i="17"/>
  <c r="P5" i="17" s="1"/>
  <c r="D2" i="17"/>
  <c r="K23" i="11"/>
  <c r="Q23" i="11" s="1"/>
  <c r="K22" i="11"/>
  <c r="M22" i="11" s="1"/>
  <c r="K21" i="11"/>
  <c r="K20" i="11"/>
  <c r="Q20" i="11" s="1"/>
  <c r="K18" i="11"/>
  <c r="Q18" i="11" s="1"/>
  <c r="K17" i="11"/>
  <c r="K16" i="11"/>
  <c r="M16" i="11" s="1"/>
  <c r="K15" i="11"/>
  <c r="Q15" i="11" s="1"/>
  <c r="K14" i="11"/>
  <c r="K13" i="11"/>
  <c r="K12" i="11"/>
  <c r="K11" i="11"/>
  <c r="Q11" i="11" s="1"/>
  <c r="K10" i="11"/>
  <c r="K9" i="11"/>
  <c r="K5" i="11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1" i="12"/>
  <c r="K5" i="12"/>
  <c r="K29" i="1" l="1"/>
  <c r="P23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Q12" i="11"/>
  <c r="Q9" i="11"/>
  <c r="Q16" i="11"/>
  <c r="Q21" i="11"/>
  <c r="Q17" i="11"/>
  <c r="Q13" i="11"/>
  <c r="Q19" i="11"/>
  <c r="Q10" i="11"/>
  <c r="Q14" i="11"/>
  <c r="Q22" i="11"/>
  <c r="Q39" i="12"/>
  <c r="Q42" i="12"/>
  <c r="Q44" i="12"/>
  <c r="Q45" i="12"/>
  <c r="Q46" i="12"/>
  <c r="Q47" i="12"/>
  <c r="Q48" i="12"/>
  <c r="Q50" i="12"/>
  <c r="Q52" i="12"/>
  <c r="Q53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9" i="12"/>
  <c r="Q71" i="12"/>
  <c r="K6" i="16"/>
  <c r="K7" i="16"/>
  <c r="N7" i="16" s="1"/>
  <c r="K8" i="16"/>
  <c r="K9" i="16"/>
  <c r="K10" i="16"/>
  <c r="N10" i="16" s="1"/>
  <c r="K11" i="16"/>
  <c r="K12" i="16"/>
  <c r="N12" i="16" s="1"/>
  <c r="K13" i="16"/>
  <c r="N13" i="16" s="1"/>
  <c r="K14" i="16"/>
  <c r="K15" i="16"/>
  <c r="K16" i="16"/>
  <c r="N16" i="16" s="1"/>
  <c r="K17" i="16"/>
  <c r="K18" i="16"/>
  <c r="K19" i="16"/>
  <c r="N19" i="16" s="1"/>
  <c r="K20" i="16"/>
  <c r="K21" i="16"/>
  <c r="K22" i="16"/>
  <c r="K25" i="16"/>
  <c r="N25" i="16" s="1"/>
  <c r="K26" i="16"/>
  <c r="N26" i="16" s="1"/>
  <c r="K27" i="16"/>
  <c r="N27" i="16" s="1"/>
  <c r="K28" i="16"/>
  <c r="N28" i="16" s="1"/>
  <c r="K29" i="16"/>
  <c r="N29" i="16" s="1"/>
  <c r="K30" i="16"/>
  <c r="N30" i="16" s="1"/>
  <c r="K31" i="16"/>
  <c r="N31" i="16" s="1"/>
  <c r="N6" i="16"/>
  <c r="N8" i="16"/>
  <c r="N9" i="16"/>
  <c r="N11" i="16"/>
  <c r="N14" i="16"/>
  <c r="N15" i="16"/>
  <c r="N17" i="16"/>
  <c r="N18" i="16"/>
  <c r="N20" i="16"/>
  <c r="N21" i="16"/>
  <c r="N22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K5" i="16"/>
  <c r="N5" i="16" s="1"/>
  <c r="D2" i="16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Y37" i="15"/>
  <c r="K37" i="15"/>
  <c r="M37" i="15" s="1"/>
  <c r="K36" i="15"/>
  <c r="Q35" i="15"/>
  <c r="Y34" i="15"/>
  <c r="K34" i="15"/>
  <c r="Y33" i="15"/>
  <c r="K33" i="15"/>
  <c r="Y32" i="15"/>
  <c r="K32" i="15"/>
  <c r="Q32" i="15" s="1"/>
  <c r="K31" i="15"/>
  <c r="Q31" i="15" s="1"/>
  <c r="Y30" i="15"/>
  <c r="K30" i="15"/>
  <c r="Q30" i="15" s="1"/>
  <c r="Y29" i="15"/>
  <c r="K29" i="15"/>
  <c r="Q29" i="15" s="1"/>
  <c r="Y28" i="15"/>
  <c r="K28" i="15"/>
  <c r="Q28" i="15" s="1"/>
  <c r="Y27" i="15"/>
  <c r="K27" i="15"/>
  <c r="Q27" i="15" s="1"/>
  <c r="K26" i="15"/>
  <c r="M26" i="15" s="1"/>
  <c r="Y25" i="15"/>
  <c r="K25" i="15"/>
  <c r="M25" i="15" s="1"/>
  <c r="Y24" i="15"/>
  <c r="K24" i="15"/>
  <c r="Y23" i="15"/>
  <c r="K23" i="15"/>
  <c r="M23" i="15" s="1"/>
  <c r="K22" i="15"/>
  <c r="M22" i="15" s="1"/>
  <c r="Y20" i="15"/>
  <c r="K20" i="15"/>
  <c r="Y19" i="15"/>
  <c r="K19" i="15"/>
  <c r="K18" i="15"/>
  <c r="Q18" i="15" s="1"/>
  <c r="Y17" i="15"/>
  <c r="K17" i="15"/>
  <c r="Q17" i="15" s="1"/>
  <c r="Y16" i="15"/>
  <c r="K16" i="15"/>
  <c r="Q16" i="15" s="1"/>
  <c r="Y15" i="15"/>
  <c r="K15" i="15"/>
  <c r="Q15" i="15" s="1"/>
  <c r="Y14" i="15"/>
  <c r="K14" i="15"/>
  <c r="Q14" i="15" s="1"/>
  <c r="Y13" i="15"/>
  <c r="K13" i="15"/>
  <c r="Q13" i="15" s="1"/>
  <c r="Y12" i="15"/>
  <c r="K12" i="15"/>
  <c r="Q12" i="15" s="1"/>
  <c r="Y11" i="15"/>
  <c r="K11" i="15"/>
  <c r="Q11" i="15" s="1"/>
  <c r="Y10" i="15"/>
  <c r="K10" i="15"/>
  <c r="Q10" i="15" s="1"/>
  <c r="K9" i="15"/>
  <c r="M9" i="15" s="1"/>
  <c r="Q8" i="15"/>
  <c r="Q7" i="15"/>
  <c r="K6" i="15"/>
  <c r="Q6" i="15" s="1"/>
  <c r="Y5" i="15"/>
  <c r="Q5" i="15"/>
  <c r="D2" i="15"/>
  <c r="Q40" i="12"/>
  <c r="Q41" i="12"/>
  <c r="Q43" i="12"/>
  <c r="K6" i="1"/>
  <c r="Q33" i="15" l="1"/>
  <c r="M33" i="15"/>
  <c r="Q36" i="15"/>
  <c r="M36" i="15"/>
  <c r="Q34" i="15"/>
  <c r="M34" i="15"/>
  <c r="M24" i="15"/>
  <c r="M20" i="15"/>
  <c r="M19" i="15"/>
  <c r="N35" i="16"/>
  <c r="Q54" i="12"/>
  <c r="Q49" i="12"/>
  <c r="Q51" i="12"/>
  <c r="Q68" i="12"/>
  <c r="M8" i="15"/>
  <c r="M16" i="15"/>
  <c r="M17" i="15"/>
  <c r="Q25" i="15"/>
  <c r="M15" i="15"/>
  <c r="M18" i="15"/>
  <c r="Q37" i="15"/>
  <c r="M31" i="15"/>
  <c r="M14" i="15"/>
  <c r="Q9" i="15"/>
  <c r="Q26" i="15"/>
  <c r="M7" i="15"/>
  <c r="M5" i="15"/>
  <c r="M6" i="15"/>
  <c r="M10" i="15"/>
  <c r="M11" i="15"/>
  <c r="M12" i="15"/>
  <c r="M13" i="15"/>
  <c r="Q19" i="15"/>
  <c r="Q20" i="15"/>
  <c r="Q22" i="15"/>
  <c r="Q23" i="15"/>
  <c r="Q24" i="15"/>
  <c r="M32" i="15"/>
  <c r="M27" i="15"/>
  <c r="M28" i="15"/>
  <c r="M29" i="15"/>
  <c r="M30" i="15"/>
  <c r="Q72" i="15" l="1"/>
  <c r="Q37" i="12"/>
  <c r="Y36" i="12"/>
  <c r="Y33" i="12"/>
  <c r="Y32" i="12"/>
  <c r="Y31" i="12"/>
  <c r="Q30" i="12"/>
  <c r="Y29" i="12"/>
  <c r="Q29" i="12"/>
  <c r="Y28" i="12"/>
  <c r="Q28" i="12"/>
  <c r="Y27" i="12"/>
  <c r="Q27" i="12"/>
  <c r="Y26" i="12"/>
  <c r="Y24" i="12"/>
  <c r="Y23" i="12"/>
  <c r="Y22" i="12"/>
  <c r="Y20" i="12"/>
  <c r="Y19" i="12"/>
  <c r="Y17" i="12"/>
  <c r="Y16" i="12"/>
  <c r="Q16" i="12"/>
  <c r="Y15" i="12"/>
  <c r="Q15" i="12"/>
  <c r="Y14" i="12"/>
  <c r="Q14" i="12"/>
  <c r="Y13" i="12"/>
  <c r="Q13" i="12"/>
  <c r="Y12" i="12"/>
  <c r="Q12" i="12"/>
  <c r="Y11" i="12"/>
  <c r="Q11" i="12"/>
  <c r="Y10" i="12"/>
  <c r="Q10" i="12"/>
  <c r="Q9" i="12"/>
  <c r="Q7" i="12"/>
  <c r="Q6" i="12"/>
  <c r="Y5" i="12"/>
  <c r="Q5" i="12"/>
  <c r="D2" i="12"/>
  <c r="U21" i="6"/>
  <c r="Y23" i="11"/>
  <c r="M23" i="11" s="1"/>
  <c r="Y21" i="11"/>
  <c r="M21" i="11" s="1"/>
  <c r="Y20" i="11"/>
  <c r="Y18" i="11"/>
  <c r="Y17" i="11"/>
  <c r="M14" i="11" s="1"/>
  <c r="Y16" i="11"/>
  <c r="Y14" i="11"/>
  <c r="Y13" i="11"/>
  <c r="M13" i="11" s="1"/>
  <c r="Y12" i="11"/>
  <c r="Y11" i="11"/>
  <c r="M9" i="11" s="1"/>
  <c r="Y10" i="11"/>
  <c r="M10" i="11" s="1"/>
  <c r="K8" i="11"/>
  <c r="Q8" i="11" s="1"/>
  <c r="K7" i="11"/>
  <c r="Q7" i="11" s="1"/>
  <c r="K6" i="11"/>
  <c r="Q6" i="11" s="1"/>
  <c r="Y5" i="11"/>
  <c r="Q5" i="11"/>
  <c r="D2" i="11"/>
  <c r="M15" i="11" l="1"/>
  <c r="M18" i="11"/>
  <c r="M12" i="11"/>
  <c r="M11" i="11"/>
  <c r="M17" i="11"/>
  <c r="M20" i="11"/>
  <c r="M8" i="11"/>
  <c r="Q31" i="12"/>
  <c r="Q33" i="12"/>
  <c r="Q36" i="12"/>
  <c r="Q32" i="12"/>
  <c r="Q34" i="12"/>
  <c r="Q35" i="12"/>
  <c r="Q38" i="12"/>
  <c r="Q25" i="12"/>
  <c r="Q18" i="12"/>
  <c r="Q17" i="12"/>
  <c r="Q8" i="12"/>
  <c r="Q21" i="12"/>
  <c r="Q24" i="12"/>
  <c r="Q20" i="12"/>
  <c r="Q23" i="12"/>
  <c r="Q19" i="12"/>
  <c r="Q22" i="12"/>
  <c r="Q26" i="12"/>
  <c r="M7" i="11"/>
  <c r="M5" i="11"/>
  <c r="M6" i="11"/>
  <c r="Q24" i="11" l="1"/>
  <c r="Q72" i="12"/>
  <c r="S21" i="12"/>
  <c r="K5" i="1"/>
  <c r="K9" i="9"/>
  <c r="Q9" i="9" s="1"/>
  <c r="K38" i="9"/>
  <c r="Q38" i="9" l="1"/>
  <c r="K26" i="9"/>
  <c r="Q26" i="9" s="1"/>
  <c r="K37" i="9"/>
  <c r="K25" i="9"/>
  <c r="Q25" i="9" s="1"/>
  <c r="Q37" i="9" l="1"/>
  <c r="M37" i="9"/>
  <c r="M25" i="9"/>
  <c r="P6" i="1"/>
  <c r="K15" i="9" l="1"/>
  <c r="Q15" i="9" s="1"/>
  <c r="M15" i="9" l="1"/>
  <c r="D2" i="7"/>
  <c r="P7" i="7"/>
  <c r="K18" i="1" l="1"/>
  <c r="M18" i="1" l="1"/>
  <c r="P18" i="1"/>
  <c r="K7" i="1" l="1"/>
  <c r="P7" i="1" s="1"/>
  <c r="K8" i="1"/>
  <c r="P8" i="1" s="1"/>
  <c r="K9" i="1"/>
  <c r="P9" i="1" s="1"/>
  <c r="K10" i="1"/>
  <c r="P10" i="1" s="1"/>
  <c r="K11" i="1"/>
  <c r="P11" i="1" s="1"/>
  <c r="K12" i="1"/>
  <c r="P12" i="1" s="1"/>
  <c r="K13" i="1"/>
  <c r="P13" i="1" s="1"/>
  <c r="K14" i="1"/>
  <c r="P14" i="1" s="1"/>
  <c r="K15" i="1"/>
  <c r="K16" i="1"/>
  <c r="P16" i="1" s="1"/>
  <c r="K17" i="1"/>
  <c r="P5" i="1"/>
  <c r="M17" i="1" l="1"/>
  <c r="P17" i="1"/>
  <c r="P19" i="1" s="1"/>
  <c r="K22" i="7"/>
  <c r="P22" i="7" s="1"/>
  <c r="K21" i="7"/>
  <c r="P21" i="7" s="1"/>
  <c r="K16" i="9"/>
  <c r="Q16" i="9" s="1"/>
  <c r="M21" i="7" l="1"/>
  <c r="M22" i="7"/>
  <c r="Q14" i="9"/>
  <c r="K30" i="9"/>
  <c r="Q30" i="9" s="1"/>
  <c r="W13" i="7"/>
  <c r="W6" i="7"/>
  <c r="W7" i="7"/>
  <c r="W8" i="7"/>
  <c r="W9" i="7"/>
  <c r="W10" i="7"/>
  <c r="W11" i="7"/>
  <c r="W12" i="7"/>
  <c r="W14" i="7"/>
  <c r="W15" i="7"/>
  <c r="W16" i="7"/>
  <c r="W17" i="7"/>
  <c r="W18" i="7"/>
  <c r="W19" i="7"/>
  <c r="W20" i="7"/>
  <c r="K8" i="7"/>
  <c r="P8" i="7" s="1"/>
  <c r="K9" i="7"/>
  <c r="P9" i="7" s="1"/>
  <c r="K10" i="7"/>
  <c r="P10" i="7" s="1"/>
  <c r="K11" i="7"/>
  <c r="P11" i="7" s="1"/>
  <c r="K12" i="7"/>
  <c r="P12" i="7" s="1"/>
  <c r="K13" i="7"/>
  <c r="P13" i="7" s="1"/>
  <c r="K14" i="7"/>
  <c r="P14" i="7" s="1"/>
  <c r="K15" i="7"/>
  <c r="P15" i="7" s="1"/>
  <c r="K16" i="7"/>
  <c r="P16" i="7" s="1"/>
  <c r="K17" i="7"/>
  <c r="P17" i="7" s="1"/>
  <c r="K18" i="7"/>
  <c r="P18" i="7" s="1"/>
  <c r="K19" i="7"/>
  <c r="P19" i="7" s="1"/>
  <c r="K20" i="7"/>
  <c r="P20" i="7" s="1"/>
  <c r="K5" i="7"/>
  <c r="P5" i="7" s="1"/>
  <c r="P6" i="7"/>
  <c r="P24" i="7" l="1"/>
  <c r="M30" i="9"/>
  <c r="M14" i="7"/>
  <c r="M15" i="1"/>
  <c r="M16" i="1"/>
  <c r="M14" i="1"/>
  <c r="Y36" i="9"/>
  <c r="M38" i="9" s="1"/>
  <c r="K32" i="9"/>
  <c r="Q32" i="9" s="1"/>
  <c r="Y33" i="9"/>
  <c r="K31" i="9"/>
  <c r="Q31" i="9" s="1"/>
  <c r="Y32" i="9"/>
  <c r="K19" i="9"/>
  <c r="Q19" i="9" s="1"/>
  <c r="Y31" i="9"/>
  <c r="K21" i="9"/>
  <c r="Q21" i="9" s="1"/>
  <c r="Y29" i="9"/>
  <c r="K33" i="9"/>
  <c r="Q33" i="9" s="1"/>
  <c r="Y28" i="9"/>
  <c r="K35" i="9"/>
  <c r="Q35" i="9" s="1"/>
  <c r="Y27" i="9"/>
  <c r="K7" i="9"/>
  <c r="Q7" i="9" s="1"/>
  <c r="Y26" i="9"/>
  <c r="M26" i="9" s="1"/>
  <c r="K20" i="9"/>
  <c r="Q20" i="9" s="1"/>
  <c r="K28" i="9"/>
  <c r="Q28" i="9" s="1"/>
  <c r="Y24" i="9"/>
  <c r="K12" i="9"/>
  <c r="Q12" i="9" s="1"/>
  <c r="Y23" i="9"/>
  <c r="K6" i="9"/>
  <c r="Q6" i="9" s="1"/>
  <c r="Y22" i="9"/>
  <c r="K23" i="9"/>
  <c r="Q23" i="9" s="1"/>
  <c r="Y20" i="9"/>
  <c r="K24" i="9"/>
  <c r="Q24" i="9" s="1"/>
  <c r="Y19" i="9"/>
  <c r="M16" i="9" s="1"/>
  <c r="K34" i="9"/>
  <c r="Q34" i="9" s="1"/>
  <c r="K36" i="9"/>
  <c r="Q36" i="9" s="1"/>
  <c r="K29" i="9"/>
  <c r="Q29" i="9" s="1"/>
  <c r="Y17" i="9"/>
  <c r="K27" i="9"/>
  <c r="Q27" i="9" s="1"/>
  <c r="Y16" i="9"/>
  <c r="K22" i="9"/>
  <c r="Q22" i="9" s="1"/>
  <c r="Y15" i="9"/>
  <c r="K17" i="9"/>
  <c r="Q17" i="9" s="1"/>
  <c r="Y14" i="9"/>
  <c r="K18" i="9"/>
  <c r="Q18" i="9" s="1"/>
  <c r="Y13" i="9"/>
  <c r="K13" i="9"/>
  <c r="Q13" i="9" s="1"/>
  <c r="Y12" i="9"/>
  <c r="K10" i="9"/>
  <c r="Q10" i="9" s="1"/>
  <c r="Y11" i="9"/>
  <c r="M9" i="9" s="1"/>
  <c r="K11" i="9"/>
  <c r="Q11" i="9" s="1"/>
  <c r="Y10" i="9"/>
  <c r="K8" i="9"/>
  <c r="Q8" i="9" s="1"/>
  <c r="Y5" i="9"/>
  <c r="K5" i="9"/>
  <c r="Q5" i="9" s="1"/>
  <c r="D2" i="9"/>
  <c r="M7" i="7"/>
  <c r="M9" i="7"/>
  <c r="M10" i="7"/>
  <c r="M11" i="7"/>
  <c r="M12" i="7"/>
  <c r="M13" i="7"/>
  <c r="M15" i="7"/>
  <c r="M16" i="7"/>
  <c r="M17" i="7"/>
  <c r="M18" i="7"/>
  <c r="M19" i="7"/>
  <c r="M20" i="7"/>
  <c r="W5" i="7"/>
  <c r="M5" i="7" s="1"/>
  <c r="D2" i="6"/>
  <c r="D2" i="1"/>
  <c r="K14" i="6"/>
  <c r="K13" i="6"/>
  <c r="K12" i="6"/>
  <c r="K11" i="6"/>
  <c r="K10" i="6"/>
  <c r="W8" i="6"/>
  <c r="P8" i="6"/>
  <c r="W7" i="6"/>
  <c r="K7" i="6"/>
  <c r="P7" i="6" s="1"/>
  <c r="W6" i="6"/>
  <c r="K6" i="6"/>
  <c r="P6" i="6" s="1"/>
  <c r="W5" i="6"/>
  <c r="K5" i="6"/>
  <c r="P5" i="6" s="1"/>
  <c r="M10" i="6" l="1"/>
  <c r="P10" i="6"/>
  <c r="M14" i="6"/>
  <c r="P14" i="6"/>
  <c r="M12" i="6"/>
  <c r="P12" i="6"/>
  <c r="M13" i="6"/>
  <c r="P13" i="6"/>
  <c r="M9" i="6"/>
  <c r="P9" i="6"/>
  <c r="M11" i="6"/>
  <c r="P11" i="6"/>
  <c r="M17" i="9"/>
  <c r="M18" i="9"/>
  <c r="M14" i="9"/>
  <c r="M32" i="9"/>
  <c r="M11" i="9"/>
  <c r="M27" i="9"/>
  <c r="M36" i="9"/>
  <c r="M5" i="9"/>
  <c r="M13" i="9"/>
  <c r="M34" i="9"/>
  <c r="M8" i="9"/>
  <c r="M10" i="9"/>
  <c r="M22" i="9"/>
  <c r="M29" i="9"/>
  <c r="M24" i="9"/>
  <c r="M6" i="9"/>
  <c r="M28" i="9"/>
  <c r="M7" i="9"/>
  <c r="M33" i="9"/>
  <c r="M19" i="9"/>
  <c r="M23" i="9"/>
  <c r="M12" i="9"/>
  <c r="M20" i="9"/>
  <c r="M35" i="9"/>
  <c r="M21" i="9"/>
  <c r="M31" i="9"/>
  <c r="M8" i="7"/>
  <c r="M6" i="7"/>
  <c r="M6" i="6"/>
  <c r="M5" i="6"/>
  <c r="M7" i="6"/>
  <c r="M8" i="6"/>
  <c r="P58" i="6" l="1"/>
  <c r="V6" i="1"/>
  <c r="M6" i="1" s="1"/>
  <c r="V7" i="1"/>
  <c r="M7" i="1" s="1"/>
  <c r="V8" i="1"/>
  <c r="M8" i="1" s="1"/>
  <c r="V9" i="1"/>
  <c r="M9" i="1" s="1"/>
  <c r="V10" i="1"/>
  <c r="M10" i="1" s="1"/>
  <c r="V11" i="1"/>
  <c r="M11" i="1" s="1"/>
  <c r="V12" i="1"/>
  <c r="M12" i="1" s="1"/>
  <c r="V13" i="1"/>
  <c r="M13" i="1" s="1"/>
  <c r="V31" i="1"/>
  <c r="M31" i="1" s="1"/>
  <c r="V5" i="1"/>
  <c r="M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<sst xmlns="http://schemas.openxmlformats.org/spreadsheetml/2006/main" count="1311" uniqueCount="649">
  <si>
    <t>Date</t>
  </si>
  <si>
    <t>Quantity</t>
  </si>
  <si>
    <t>Product Name</t>
  </si>
  <si>
    <t>Procurement Suggestion</t>
  </si>
  <si>
    <t>Orders Placed-date wise</t>
  </si>
  <si>
    <t>R/T Status&gt;&gt;</t>
  </si>
  <si>
    <t>Total Transit</t>
  </si>
  <si>
    <t>Stock IN, OUT, Balance and Procurement Planning System</t>
  </si>
  <si>
    <t>Stock IN</t>
  </si>
  <si>
    <t>Stock OUT</t>
  </si>
  <si>
    <t>Balance Stock</t>
  </si>
  <si>
    <t>R</t>
  </si>
  <si>
    <t>Opening Stock</t>
  </si>
  <si>
    <t>Min Stock To be Kept</t>
  </si>
  <si>
    <t>Order to Supplier date wise</t>
  </si>
  <si>
    <t>R/T Status</t>
  </si>
  <si>
    <t>Stock IN, OUT, Balance and Stock Order Management System</t>
  </si>
  <si>
    <t>Diesel</t>
  </si>
  <si>
    <t>Petrol</t>
  </si>
  <si>
    <t>Kerosene</t>
  </si>
  <si>
    <t>Grease</t>
  </si>
  <si>
    <t>SB Page No</t>
  </si>
  <si>
    <t>Organic manure</t>
  </si>
  <si>
    <t>Gypsum</t>
  </si>
  <si>
    <t>MOP</t>
  </si>
  <si>
    <t>TSP</t>
  </si>
  <si>
    <t>Urea</t>
  </si>
  <si>
    <t>Dry Coir dust</t>
  </si>
  <si>
    <t>Wet Coir dust</t>
  </si>
  <si>
    <t>Chilli mix</t>
  </si>
  <si>
    <t>Discovery</t>
  </si>
  <si>
    <t>Albert solution</t>
  </si>
  <si>
    <t>Unit</t>
  </si>
  <si>
    <t>Load</t>
  </si>
  <si>
    <t>kg</t>
  </si>
  <si>
    <t>g</t>
  </si>
  <si>
    <t>Vegetable mix</t>
  </si>
  <si>
    <t>ml</t>
  </si>
  <si>
    <t>Cal max</t>
  </si>
  <si>
    <t>Organic fertilizer</t>
  </si>
  <si>
    <t>DAP</t>
  </si>
  <si>
    <t>Actalic</t>
  </si>
  <si>
    <t>Expiry Date</t>
  </si>
  <si>
    <t>BPMC</t>
  </si>
  <si>
    <t>Carbendazim</t>
  </si>
  <si>
    <t>Captan</t>
  </si>
  <si>
    <t>Chlorothanil</t>
  </si>
  <si>
    <t>Homai</t>
  </si>
  <si>
    <t>Goal</t>
  </si>
  <si>
    <t>MCPA</t>
  </si>
  <si>
    <t>Profenofos</t>
  </si>
  <si>
    <t>Sulphar</t>
  </si>
  <si>
    <t>Abamectin</t>
  </si>
  <si>
    <t>Calmax</t>
  </si>
  <si>
    <t>Wuxal K40</t>
  </si>
  <si>
    <t>Methyl euginol</t>
  </si>
  <si>
    <t>Metado</t>
  </si>
  <si>
    <t>Chess</t>
  </si>
  <si>
    <t>Solito</t>
  </si>
  <si>
    <t>Loyant</t>
  </si>
  <si>
    <t>Actera</t>
  </si>
  <si>
    <t>Wuxal Vee</t>
  </si>
  <si>
    <t>Verteco</t>
  </si>
  <si>
    <t>Mancozeb</t>
  </si>
  <si>
    <t xml:space="preserve">Imidacloprid </t>
  </si>
  <si>
    <t>Tetris</t>
  </si>
  <si>
    <t>Transform</t>
  </si>
  <si>
    <t xml:space="preserve"> </t>
  </si>
  <si>
    <t>l</t>
  </si>
  <si>
    <t xml:space="preserve">Opening Stock </t>
  </si>
  <si>
    <t xml:space="preserve">Min stock To be Kept </t>
  </si>
  <si>
    <t>Rules</t>
  </si>
  <si>
    <t>Less than 3 month - Yellow</t>
  </si>
  <si>
    <t>More than 3 month - Green</t>
  </si>
  <si>
    <t>No Remaining Life - Red</t>
  </si>
  <si>
    <t>STR/02/1</t>
  </si>
  <si>
    <t>File cover</t>
  </si>
  <si>
    <t>Nos</t>
  </si>
  <si>
    <t>A4 80 GSM</t>
  </si>
  <si>
    <t>LG Sheet 80 GSM</t>
  </si>
  <si>
    <t>STR/02/7</t>
  </si>
  <si>
    <t>File tag</t>
  </si>
  <si>
    <t>Envelop Small</t>
  </si>
  <si>
    <t>STR/02/10</t>
  </si>
  <si>
    <t>Envelop A5</t>
  </si>
  <si>
    <t>STR/02/12</t>
  </si>
  <si>
    <t>Envelop A4</t>
  </si>
  <si>
    <t>Pencil</t>
  </si>
  <si>
    <t>STR/02/16</t>
  </si>
  <si>
    <t>STR/02/17</t>
  </si>
  <si>
    <t>Pen (Black)</t>
  </si>
  <si>
    <t>STR/02/20</t>
  </si>
  <si>
    <t>Pen (Red)</t>
  </si>
  <si>
    <t>STR/02/24</t>
  </si>
  <si>
    <t>STR/02/25</t>
  </si>
  <si>
    <t>Ruler 30cm</t>
  </si>
  <si>
    <t>Permanent marker</t>
  </si>
  <si>
    <t>STR/02/30</t>
  </si>
  <si>
    <t>White board marker</t>
  </si>
  <si>
    <t>STR/02/32</t>
  </si>
  <si>
    <t>CR-II Book</t>
  </si>
  <si>
    <t>STR/02/33</t>
  </si>
  <si>
    <t>STR/02/35</t>
  </si>
  <si>
    <t>Eraser</t>
  </si>
  <si>
    <t>STR/02/39</t>
  </si>
  <si>
    <t>Pencil sharpener</t>
  </si>
  <si>
    <t>STR/02/41</t>
  </si>
  <si>
    <t>Typing sheet</t>
  </si>
  <si>
    <t>Ream</t>
  </si>
  <si>
    <t>STR/02/43</t>
  </si>
  <si>
    <t>STR/02/46</t>
  </si>
  <si>
    <t>Roll</t>
  </si>
  <si>
    <t>STR/02/49</t>
  </si>
  <si>
    <t>Scissor</t>
  </si>
  <si>
    <t>STR/02/51</t>
  </si>
  <si>
    <t>Box file</t>
  </si>
  <si>
    <t>STR/02/53</t>
  </si>
  <si>
    <t>File divider</t>
  </si>
  <si>
    <t>Field note book</t>
  </si>
  <si>
    <t>STR/02/57</t>
  </si>
  <si>
    <t>Box</t>
  </si>
  <si>
    <t>Triangle clip</t>
  </si>
  <si>
    <t>STR/02/65</t>
  </si>
  <si>
    <t>Peper cutter</t>
  </si>
  <si>
    <t>STR/02/67</t>
  </si>
  <si>
    <t>STR/02/81</t>
  </si>
  <si>
    <t>Stick note-Small</t>
  </si>
  <si>
    <t>Stick note-3" x 3"</t>
  </si>
  <si>
    <t>STR/02/83</t>
  </si>
  <si>
    <t>STR/02/87</t>
  </si>
  <si>
    <t>Bottle</t>
  </si>
  <si>
    <t>Binding tape- 2"</t>
  </si>
  <si>
    <t>Double side tissue tape-1"</t>
  </si>
  <si>
    <t>Cello tape-2"</t>
  </si>
  <si>
    <t>Masking tape-2"</t>
  </si>
  <si>
    <t>Stapler pin (No-24)</t>
  </si>
  <si>
    <t>CR-V Book</t>
  </si>
  <si>
    <t>STR/02/97</t>
  </si>
  <si>
    <t>STR/02/104</t>
  </si>
  <si>
    <t>m</t>
  </si>
  <si>
    <t>Formica sheet</t>
  </si>
  <si>
    <t>STR/02/105</t>
  </si>
  <si>
    <t>Ink pad</t>
  </si>
  <si>
    <t>STR/02/109</t>
  </si>
  <si>
    <t>Clear cover- A4</t>
  </si>
  <si>
    <t>STR/02/111</t>
  </si>
  <si>
    <t>Stick note-2" x 3"</t>
  </si>
  <si>
    <t>Double side carbon paper</t>
  </si>
  <si>
    <t>STR/02/117</t>
  </si>
  <si>
    <t>STR/02/119</t>
  </si>
  <si>
    <t>Glue stick</t>
  </si>
  <si>
    <t>STR/02/121</t>
  </si>
  <si>
    <t>Poster pin</t>
  </si>
  <si>
    <t>Box board</t>
  </si>
  <si>
    <t>STR/02/127</t>
  </si>
  <si>
    <t>STR/02/131</t>
  </si>
  <si>
    <t>A3 -80 GSM</t>
  </si>
  <si>
    <t>DATE</t>
  </si>
  <si>
    <t>Surfactant</t>
  </si>
  <si>
    <t>2T oil</t>
  </si>
  <si>
    <t>Coolent</t>
  </si>
  <si>
    <t>Service oil</t>
  </si>
  <si>
    <t>Break oil</t>
  </si>
  <si>
    <t>Steering oil</t>
  </si>
  <si>
    <t>FLR/03/01-06</t>
  </si>
  <si>
    <t>FLR/03/07-40</t>
  </si>
  <si>
    <t>FLR/03/41-46</t>
  </si>
  <si>
    <t>FLR/03/47-50</t>
  </si>
  <si>
    <t>FLR/03/51-64</t>
  </si>
  <si>
    <t>SAE 30 Hydraulic oil</t>
  </si>
  <si>
    <t>SAE 40 Engine oil</t>
  </si>
  <si>
    <t>FLR/03/65-70</t>
  </si>
  <si>
    <t>FLR/03/71-76</t>
  </si>
  <si>
    <t>FLR/03/77-82</t>
  </si>
  <si>
    <t>FLR/03/83-88</t>
  </si>
  <si>
    <t>FLR/03/89-94</t>
  </si>
  <si>
    <t>FLR/03/95-96</t>
  </si>
  <si>
    <t>FLR/03/97-98</t>
  </si>
  <si>
    <t>SAE 90 Differenciial oil</t>
  </si>
  <si>
    <t>MicroVee</t>
  </si>
  <si>
    <t>Ammonium sulphate</t>
  </si>
  <si>
    <t>Gen198/10/1-29</t>
  </si>
  <si>
    <t>Gen198/10/30-59</t>
  </si>
  <si>
    <t>Gen198/10/60-89</t>
  </si>
  <si>
    <t>Gen198/10/90-99</t>
  </si>
  <si>
    <t>Gen198/10/100-104</t>
  </si>
  <si>
    <t>Gen198/10/105-109</t>
  </si>
  <si>
    <t>Gen198/10/110-114</t>
  </si>
  <si>
    <t>Gen198/10/115-119</t>
  </si>
  <si>
    <t>Gen198/10/120-124</t>
  </si>
  <si>
    <t>Gen198/10/125-129</t>
  </si>
  <si>
    <t>Gen198/10/130-134</t>
  </si>
  <si>
    <t>Gen198/10/135-139</t>
  </si>
  <si>
    <t>Gen198/10/140-144</t>
  </si>
  <si>
    <t>Gen198/10/145-149</t>
  </si>
  <si>
    <t>Gen198/10/150-154</t>
  </si>
  <si>
    <t>Gen198/10/155-159</t>
  </si>
  <si>
    <t>Coragen</t>
  </si>
  <si>
    <t>Singer oil</t>
  </si>
  <si>
    <t>FLR/03/99-100</t>
  </si>
  <si>
    <t>Gen198/10/164-168</t>
  </si>
  <si>
    <t>Bloom Power</t>
  </si>
  <si>
    <t>Gen198/10/160-163</t>
  </si>
  <si>
    <t>Yara Mila Complex</t>
  </si>
  <si>
    <t>Fipronil</t>
  </si>
  <si>
    <t>Pexsalon</t>
  </si>
  <si>
    <t>FLR/03/101-102</t>
  </si>
  <si>
    <t>HD 68</t>
  </si>
  <si>
    <t>Envelop 9" x 4"</t>
  </si>
  <si>
    <t>STR/02/108</t>
  </si>
  <si>
    <t>Pen (Blue)</t>
  </si>
  <si>
    <t>STR/02/113</t>
  </si>
  <si>
    <t>STR/02/139</t>
  </si>
  <si>
    <t>Cello tape-1"</t>
  </si>
  <si>
    <t>CR-IV Book</t>
  </si>
  <si>
    <t>STR/02/27</t>
  </si>
  <si>
    <t>Highlighter</t>
  </si>
  <si>
    <t>Cruiser</t>
  </si>
  <si>
    <t>AR/04/01-05</t>
  </si>
  <si>
    <t>AR/04/06-10</t>
  </si>
  <si>
    <t>AR/04/11-15</t>
  </si>
  <si>
    <t>AR/04/16-20</t>
  </si>
  <si>
    <t>AR/04/21-25</t>
  </si>
  <si>
    <t>AR/04/26-30</t>
  </si>
  <si>
    <t>AR/04/31-35</t>
  </si>
  <si>
    <t>AR/04/36-40</t>
  </si>
  <si>
    <t>AR/04/41-45</t>
  </si>
  <si>
    <t>AR/04/46-50</t>
  </si>
  <si>
    <t>AR/04/51-55</t>
  </si>
  <si>
    <t>AR/04/56-60</t>
  </si>
  <si>
    <t>AR/04/61-65</t>
  </si>
  <si>
    <t>AR/04/66-70</t>
  </si>
  <si>
    <t>AR/04/71-75</t>
  </si>
  <si>
    <t>AR/04/76-80</t>
  </si>
  <si>
    <t>AR/04/81-85</t>
  </si>
  <si>
    <t>AR/04/86-90</t>
  </si>
  <si>
    <t>AR/04/91-95</t>
  </si>
  <si>
    <t>AR/04/96-100</t>
  </si>
  <si>
    <t>AR/04/101-105</t>
  </si>
  <si>
    <t>AR/04/106-110</t>
  </si>
  <si>
    <t>AR/04/111-115</t>
  </si>
  <si>
    <t>AR/04/116-120</t>
  </si>
  <si>
    <t>AR/04/121-125</t>
  </si>
  <si>
    <t>AR/04/126-130</t>
  </si>
  <si>
    <t>AR/04/131-135</t>
  </si>
  <si>
    <t>AR/04/136-140</t>
  </si>
  <si>
    <t>AR/04/141-145</t>
  </si>
  <si>
    <t>AR/04/146-150</t>
  </si>
  <si>
    <t>AR/04/151-155</t>
  </si>
  <si>
    <t>AR/04/156-160</t>
  </si>
  <si>
    <t>Nissorun</t>
  </si>
  <si>
    <t>Glyphosate</t>
  </si>
  <si>
    <t>Waxal Ca</t>
  </si>
  <si>
    <t>Unit Price</t>
  </si>
  <si>
    <t>Value</t>
  </si>
  <si>
    <t>Turbowet</t>
  </si>
  <si>
    <t>AR/04/161-165</t>
  </si>
  <si>
    <t>AR/04/166-170</t>
  </si>
  <si>
    <t>PR/06/AD31/1-2</t>
  </si>
  <si>
    <t>AT 308 Br</t>
  </si>
  <si>
    <t>PR/06/AD31/3-4</t>
  </si>
  <si>
    <t>BG 314 Br</t>
  </si>
  <si>
    <t>PR/06/AD31/5-6</t>
  </si>
  <si>
    <t>PR/06/AD31/7</t>
  </si>
  <si>
    <t>BG 366 Br</t>
  </si>
  <si>
    <t>PR/06/AD31/8</t>
  </si>
  <si>
    <t>BG 375 Br</t>
  </si>
  <si>
    <t>PR/06/AD31/9-10</t>
  </si>
  <si>
    <t>AT 362 Br</t>
  </si>
  <si>
    <t>LD 368 Br</t>
  </si>
  <si>
    <t>PR/06/AD31/11-12</t>
  </si>
  <si>
    <t>PR/06/AD31/13-14</t>
  </si>
  <si>
    <t>BW 367 Br</t>
  </si>
  <si>
    <t>PR/06/AD31/15-16</t>
  </si>
  <si>
    <t>BG 374 Br</t>
  </si>
  <si>
    <t>PR/06/AD31/17-18</t>
  </si>
  <si>
    <t>BG 406 Br</t>
  </si>
  <si>
    <t>PR/06/AD31/19-20</t>
  </si>
  <si>
    <t>BG 450 Br</t>
  </si>
  <si>
    <t>Bu</t>
  </si>
  <si>
    <t>PR/06/AD31/21</t>
  </si>
  <si>
    <t>AT 308 Fd</t>
  </si>
  <si>
    <t>PR/06/AD31/22</t>
  </si>
  <si>
    <t>PR/06/AD31/23</t>
  </si>
  <si>
    <t>AT 308 Fd-II</t>
  </si>
  <si>
    <t>BG 314 Fd</t>
  </si>
  <si>
    <t>PR/06/AD31/24</t>
  </si>
  <si>
    <t>BG 314 Fd-II</t>
  </si>
  <si>
    <t>PR/06/AD31/25-26</t>
  </si>
  <si>
    <t>BG 360 Fd</t>
  </si>
  <si>
    <t>PR/06/AD31/27</t>
  </si>
  <si>
    <t>BG 366 Fd</t>
  </si>
  <si>
    <t>BG 366 Fd-II</t>
  </si>
  <si>
    <t>PR/06/AD31/28</t>
  </si>
  <si>
    <t>AT 362 Fd</t>
  </si>
  <si>
    <t>PR/06/AD31/29-30</t>
  </si>
  <si>
    <t>PR/06/AD31/31</t>
  </si>
  <si>
    <t>LD 368 Fd</t>
  </si>
  <si>
    <t>PR/06/AD31/32</t>
  </si>
  <si>
    <t>LD 368 Fd-II</t>
  </si>
  <si>
    <t>PR/06/AD31/33</t>
  </si>
  <si>
    <t>BW 367 Fd</t>
  </si>
  <si>
    <t>PR/06/AD31/34</t>
  </si>
  <si>
    <t>BW 367 Fd-II</t>
  </si>
  <si>
    <t>BG 374 Fd</t>
  </si>
  <si>
    <t>PR/06/AD31/35-36</t>
  </si>
  <si>
    <t>PR/06/AD31/37-38</t>
  </si>
  <si>
    <t>BG 406 Fd</t>
  </si>
  <si>
    <t>PR/06/AD31/39</t>
  </si>
  <si>
    <t>BG 450 Fd</t>
  </si>
  <si>
    <t>PR/06/AD31/40</t>
  </si>
  <si>
    <t>BG 450 Fd-II</t>
  </si>
  <si>
    <t>AT 308 Rg</t>
  </si>
  <si>
    <t>PR/06/AD31/41-42</t>
  </si>
  <si>
    <t>PR/06/AD31/43-44</t>
  </si>
  <si>
    <t>BG 314 Rg</t>
  </si>
  <si>
    <t>PR/06/AD31/45-46</t>
  </si>
  <si>
    <t>BG 360 Rg</t>
  </si>
  <si>
    <t>PR/06/AD31/47-48</t>
  </si>
  <si>
    <t>BG 366 Rg</t>
  </si>
  <si>
    <t>AT362 Rg</t>
  </si>
  <si>
    <t>PR/06/AD31/53-54</t>
  </si>
  <si>
    <t>PR/06/AD31/55-56</t>
  </si>
  <si>
    <t>Bg374 Rg</t>
  </si>
  <si>
    <t>PR/06/AD31/51-52</t>
  </si>
  <si>
    <t>BW 367 Rg</t>
  </si>
  <si>
    <t>PR/06/AD31/57-58</t>
  </si>
  <si>
    <t>Bg  406 Rg</t>
  </si>
  <si>
    <t>PR/06/AD31/59-60</t>
  </si>
  <si>
    <t>PR/06/AD31/61</t>
  </si>
  <si>
    <t>AT 308 Rg II</t>
  </si>
  <si>
    <t>PR/06/AD31/62</t>
  </si>
  <si>
    <t>BG 314 Rg II</t>
  </si>
  <si>
    <t>PR/06/AD31/63</t>
  </si>
  <si>
    <t>BG 360 Rg II</t>
  </si>
  <si>
    <t>PR/06/AD31/64</t>
  </si>
  <si>
    <t>PR/06/AD31/65</t>
  </si>
  <si>
    <t>PR/06/AD31/66</t>
  </si>
  <si>
    <t>PR/06/AD31/67</t>
  </si>
  <si>
    <t>PR/06/AD31/68</t>
  </si>
  <si>
    <t>PR/06/AD31/69</t>
  </si>
  <si>
    <t>PR/06/AD31/70</t>
  </si>
  <si>
    <t>PR/06/AD31/71</t>
  </si>
  <si>
    <t>PR/06/AD31/72</t>
  </si>
  <si>
    <t>PR/06/AD31/73</t>
  </si>
  <si>
    <t>PR/06/AD31/74</t>
  </si>
  <si>
    <t>PR/06/AD31/75</t>
  </si>
  <si>
    <t>PR/06/AD31/76</t>
  </si>
  <si>
    <t>PR/06/AD31/77</t>
  </si>
  <si>
    <t>PR/06/AD31/78</t>
  </si>
  <si>
    <t>PR/06/AD31/79</t>
  </si>
  <si>
    <t>PR/06/AD31/80</t>
  </si>
  <si>
    <t>PR/06/AD31/81</t>
  </si>
  <si>
    <t>BG 366 Rg II</t>
  </si>
  <si>
    <t>AT362 Rg II</t>
  </si>
  <si>
    <t>Bg 352 Rg II</t>
  </si>
  <si>
    <t>BW 367 Rg II</t>
  </si>
  <si>
    <t>Bg 374 Rg II</t>
  </si>
  <si>
    <t>Bg  406 Rg II</t>
  </si>
  <si>
    <t>AT 308 Ct</t>
  </si>
  <si>
    <t>AT 308 Ct II</t>
  </si>
  <si>
    <t>Bg 314 Ct</t>
  </si>
  <si>
    <t>Bg3 14 Ct II</t>
  </si>
  <si>
    <t>Bg 360 Ct</t>
  </si>
  <si>
    <t>Bg 360 Ct II</t>
  </si>
  <si>
    <t>Bg 366 Ct</t>
  </si>
  <si>
    <t>Bg 366 Ct II</t>
  </si>
  <si>
    <t>At 362 Ct</t>
  </si>
  <si>
    <t>At 362 Ct II</t>
  </si>
  <si>
    <t>PR/06/AD31/82</t>
  </si>
  <si>
    <t xml:space="preserve"> Ld 368 Ct II</t>
  </si>
  <si>
    <t>PR/06/AD31/83</t>
  </si>
  <si>
    <t>Bw 367 Ct</t>
  </si>
  <si>
    <t>PR/06/AD31/84</t>
  </si>
  <si>
    <t>Bw 367 Ct II</t>
  </si>
  <si>
    <t>PR/06/AD31/85</t>
  </si>
  <si>
    <t>Bg 374 Ct</t>
  </si>
  <si>
    <t>PR/06/AD31/86</t>
  </si>
  <si>
    <t xml:space="preserve"> Bg  373 Ct II</t>
  </si>
  <si>
    <t>PR/06/AD31/87</t>
  </si>
  <si>
    <t>Bg 406 Ct</t>
  </si>
  <si>
    <t>PR/06/AD31/88</t>
  </si>
  <si>
    <t>Bg 406 Ct II</t>
  </si>
  <si>
    <t>PR/06/AD31/89</t>
  </si>
  <si>
    <t>Bg  450 Ct</t>
  </si>
  <si>
    <t>PR/06/AD31/90</t>
  </si>
  <si>
    <t>Bg 450 Ct II</t>
  </si>
  <si>
    <t>Gum bottle</t>
  </si>
  <si>
    <t>Binding glue (100g)</t>
  </si>
  <si>
    <t>Magazin holder 5"</t>
  </si>
  <si>
    <t>Box board 300 GSM</t>
  </si>
  <si>
    <t>STR/02/48</t>
  </si>
  <si>
    <t>STR/02/56</t>
  </si>
  <si>
    <t>STR/02/60</t>
  </si>
  <si>
    <t>STR/02/71</t>
  </si>
  <si>
    <t>STR/02/90</t>
  </si>
  <si>
    <t>STR/02/106</t>
  </si>
  <si>
    <t>STR/02/141</t>
  </si>
  <si>
    <t>STR/02/143</t>
  </si>
  <si>
    <t>PR/07/AD31/1-2</t>
  </si>
  <si>
    <t>Brinjal TV (St)</t>
  </si>
  <si>
    <t>PR/07/AD31/3-4</t>
  </si>
  <si>
    <t>PR/09/AD31/1-4</t>
  </si>
  <si>
    <t>PR/09/AD31/5-8</t>
  </si>
  <si>
    <t>PR/09/AD31/9-12</t>
  </si>
  <si>
    <t>PR/09/AD31/13-16</t>
  </si>
  <si>
    <t>PR/09/AD31/17-20</t>
  </si>
  <si>
    <t>PR/09/AD31/21-24</t>
  </si>
  <si>
    <t>PR/09/AD31/25-28</t>
  </si>
  <si>
    <t>PR/09/AD31/29-32</t>
  </si>
  <si>
    <t>PR/09/AD31/33-36</t>
  </si>
  <si>
    <t>PR/09/AD31/37-40</t>
  </si>
  <si>
    <t>PR/09/AD31/41-44</t>
  </si>
  <si>
    <t>PR/09/AD31/45-48</t>
  </si>
  <si>
    <t>PR/09/AD31/53-56</t>
  </si>
  <si>
    <t>PR/09/AD31/57-60</t>
  </si>
  <si>
    <t>PR/09/AD31/61-64</t>
  </si>
  <si>
    <t>PR/09/AD31/65-68</t>
  </si>
  <si>
    <t>Ambarella</t>
  </si>
  <si>
    <t>Anoda</t>
  </si>
  <si>
    <t>Arecanut</t>
  </si>
  <si>
    <t>Dragon I</t>
  </si>
  <si>
    <t>Guava (BG)</t>
  </si>
  <si>
    <t>Jack fruit (Father alone)</t>
  </si>
  <si>
    <t>Lime</t>
  </si>
  <si>
    <t>Indian gooseberry (Local)</t>
  </si>
  <si>
    <t>Indian gooseberry (Gannoruwa)</t>
  </si>
  <si>
    <t>Papaw (Horana Hy)</t>
  </si>
  <si>
    <t>Passion Furit (Horana gold)</t>
  </si>
  <si>
    <t>Pomegranate (Kalpitiya)</t>
  </si>
  <si>
    <t>Pomegranate (Nimalee)</t>
  </si>
  <si>
    <t>Pomegranate (Nimalee) SP</t>
  </si>
  <si>
    <t>Rose Apple</t>
  </si>
  <si>
    <t>Rose Apple SP</t>
  </si>
  <si>
    <t>Ugurassa</t>
  </si>
  <si>
    <t>No</t>
  </si>
  <si>
    <t>Avacado</t>
  </si>
  <si>
    <t>Mango (ANK1) Bud</t>
  </si>
  <si>
    <t>Mango (ANK2) Bud</t>
  </si>
  <si>
    <t xml:space="preserve">Mango (ANK3) Bud </t>
  </si>
  <si>
    <t>Mango (ANK4) Bud</t>
  </si>
  <si>
    <t>Wood Apple (ANKWA1) Bud</t>
  </si>
  <si>
    <t>Wood Apple (ANKWA2) Bud</t>
  </si>
  <si>
    <t>Pomegranate (Lanka Red)</t>
  </si>
  <si>
    <t>Pomegranate (Mali pink)</t>
  </si>
  <si>
    <t>Referance</t>
  </si>
  <si>
    <t xml:space="preserve">Bg 360 Ct </t>
  </si>
  <si>
    <t>Bg 450 Rg</t>
  </si>
  <si>
    <t>Bg 450 Rg II</t>
  </si>
  <si>
    <t xml:space="preserve">Multi plug </t>
  </si>
  <si>
    <t>L.Bow 2"</t>
  </si>
  <si>
    <t>F. Socket 1/2 "</t>
  </si>
  <si>
    <t>T seal 1/2 ":</t>
  </si>
  <si>
    <t xml:space="preserve">Insulation tape </t>
  </si>
  <si>
    <t xml:space="preserve">Creakers </t>
  </si>
  <si>
    <t xml:space="preserve">Cloth rope </t>
  </si>
  <si>
    <t xml:space="preserve">Sticker Entry </t>
  </si>
  <si>
    <t xml:space="preserve">Hand wash </t>
  </si>
  <si>
    <t>Bend 2"</t>
  </si>
  <si>
    <t xml:space="preserve">Hack saw Blade </t>
  </si>
  <si>
    <t>PVC pipe 2"</t>
  </si>
  <si>
    <t xml:space="preserve">Cupling clip </t>
  </si>
  <si>
    <t>Socket 2"</t>
  </si>
  <si>
    <t xml:space="preserve">16 A Bracker </t>
  </si>
  <si>
    <t>L.Bow 1/2"</t>
  </si>
  <si>
    <t xml:space="preserve">m </t>
  </si>
  <si>
    <t>Bundel</t>
  </si>
  <si>
    <t>Gen198/05/155</t>
  </si>
  <si>
    <t>Gen198/05/167</t>
  </si>
  <si>
    <t>Gen198/05/183</t>
  </si>
  <si>
    <t>Gen198/05/189</t>
  </si>
  <si>
    <t>Gen198/06/01</t>
  </si>
  <si>
    <t xml:space="preserve">Gen198/06/15 </t>
  </si>
  <si>
    <t>Gen198/06/28</t>
  </si>
  <si>
    <t xml:space="preserve">Gen198/06/40 </t>
  </si>
  <si>
    <t xml:space="preserve">Gen198/06/53 </t>
  </si>
  <si>
    <t>Gen198/06/57</t>
  </si>
  <si>
    <t>Gen198/06/71</t>
  </si>
  <si>
    <t xml:space="preserve">Gen198/06/73 </t>
  </si>
  <si>
    <t>Gen198/06/75</t>
  </si>
  <si>
    <t>Gen198/06/88</t>
  </si>
  <si>
    <t>Gen198/06/98</t>
  </si>
  <si>
    <t>Gen198/06/139</t>
  </si>
  <si>
    <t>Gen198/05/3-10</t>
  </si>
  <si>
    <t>Gen198/05/11-20</t>
  </si>
  <si>
    <t>Printed Poly sack-1Bu</t>
  </si>
  <si>
    <t>Printed Poly sack-2Bu</t>
  </si>
  <si>
    <t>HDPE Bag G500 1Bu</t>
  </si>
  <si>
    <t>Gen198/05/21-30</t>
  </si>
  <si>
    <t>Gen198/05/31-40</t>
  </si>
  <si>
    <t>Non-Printed Poly sack-1Bu</t>
  </si>
  <si>
    <t>Gen198/05/41-50</t>
  </si>
  <si>
    <t>Non-Printed Poly sack-2Bu</t>
  </si>
  <si>
    <t>Gen198/05/51-60</t>
  </si>
  <si>
    <t>Gen198/05/61-70</t>
  </si>
  <si>
    <t>HDPE Grow Bag 6" x 7" Black</t>
  </si>
  <si>
    <t>Fruit covering Bag Brown</t>
  </si>
  <si>
    <t>Fruit covering Bag White</t>
  </si>
  <si>
    <t>Gen198/05/71-80</t>
  </si>
  <si>
    <t xml:space="preserve">HDPE Grow Bag 16" x 16" </t>
  </si>
  <si>
    <t>Gen198/05/81-84</t>
  </si>
  <si>
    <t>Gen198/05/85-86</t>
  </si>
  <si>
    <t>Gen198/05/87-88</t>
  </si>
  <si>
    <t>Poly sack Net bags</t>
  </si>
  <si>
    <t>HDPE Bag G500 2Bu</t>
  </si>
  <si>
    <t xml:space="preserve">Jute rope </t>
  </si>
  <si>
    <t>ft</t>
  </si>
  <si>
    <t>F. Socket 1/2"</t>
  </si>
  <si>
    <t>T seal 1/2"</t>
  </si>
  <si>
    <t>Solvent cement</t>
  </si>
  <si>
    <t>Gen198/05/89-90</t>
  </si>
  <si>
    <t>HDPE Grow Bag 4" x 7" Black</t>
  </si>
  <si>
    <t>Gen198/05/91-98</t>
  </si>
  <si>
    <t>Gen198/05/99-100</t>
  </si>
  <si>
    <t>HDPE Grow Bag 4" x 6" Black</t>
  </si>
  <si>
    <t>HDPE Grow Bag 3" x 4" Black</t>
  </si>
  <si>
    <t>HDPE Grow Bag 5" x 6" Black</t>
  </si>
  <si>
    <t>Gen198/05/101-102</t>
  </si>
  <si>
    <t>Gen198/05/103-104</t>
  </si>
  <si>
    <t>HDPE Grow Bag 7" x 8" Black</t>
  </si>
  <si>
    <t>Gen198/05/105-106</t>
  </si>
  <si>
    <t>HDPE Grow Bag 4" x 4.5" Black</t>
  </si>
  <si>
    <t>PR/09/AD31/49-52</t>
  </si>
  <si>
    <t>PR/09/AD31/69-70</t>
  </si>
  <si>
    <t>PR/09/AD31/71-72</t>
  </si>
  <si>
    <t>PR/09/AD31/73-74</t>
  </si>
  <si>
    <t>PR/09/AD31/75-76</t>
  </si>
  <si>
    <t>PR/09/AD31/77-78</t>
  </si>
  <si>
    <t>PR/09/AD31/79-80</t>
  </si>
  <si>
    <t>PR/09/AD31/81-82</t>
  </si>
  <si>
    <t>PR/09/AD31/83-84</t>
  </si>
  <si>
    <t>PR/09/AD31/85-86</t>
  </si>
  <si>
    <t>PR/09/AD31/87-88</t>
  </si>
  <si>
    <t>Jambola (ANKPOM-1) Bud</t>
  </si>
  <si>
    <t>PR/09/AD31/89-90</t>
  </si>
  <si>
    <t>PR/09/AD31/91-92</t>
  </si>
  <si>
    <t>Jack fruit (Mandoor)</t>
  </si>
  <si>
    <t>PR/09/AD31/93-94</t>
  </si>
  <si>
    <t>Starfruit</t>
  </si>
  <si>
    <t>Orange (Bibile Sweet)</t>
  </si>
  <si>
    <t>Value (Rs.)</t>
  </si>
  <si>
    <t>Chilli KA2 (St)</t>
  </si>
  <si>
    <t>PR/07/AD31/5-6</t>
  </si>
  <si>
    <t>PR/07/AD31/7-8</t>
  </si>
  <si>
    <t>Chilli MICH (Hy)</t>
  </si>
  <si>
    <t>PR/07/AD31/9-10</t>
  </si>
  <si>
    <t>PR/07/AD31/11-12</t>
  </si>
  <si>
    <t>Green gram MI6 (Fd)</t>
  </si>
  <si>
    <t>PR/07/AD31/13-14</t>
  </si>
  <si>
    <t>Sunhemp</t>
  </si>
  <si>
    <t>PR/07/AD31/15-16</t>
  </si>
  <si>
    <t>Tomato Bathiya (Hy)</t>
  </si>
  <si>
    <t>PR/07/AD31/17</t>
  </si>
  <si>
    <t>Brinjal Reject lot</t>
  </si>
  <si>
    <t>Brinjal TV (Ba)</t>
  </si>
  <si>
    <t>PR/07/AD31/18</t>
  </si>
  <si>
    <t>Gorund nut Tissa (Rg)</t>
  </si>
  <si>
    <t>PR/07/AD31/19-20</t>
  </si>
  <si>
    <t>PR/07/AD31/21-22</t>
  </si>
  <si>
    <t>Bitter gourd TV (Br)</t>
  </si>
  <si>
    <t>PR/07/AD31/23-24</t>
  </si>
  <si>
    <t>Okra MI5 (Ba)</t>
  </si>
  <si>
    <t>PR/07/AD31/25-26</t>
  </si>
  <si>
    <t>Chilli MI2 (Ba)</t>
  </si>
  <si>
    <t>Chilli MI2 (St)</t>
  </si>
  <si>
    <t>PR/07/AD31/27-28</t>
  </si>
  <si>
    <t>Gorund nut Tissa (Br)</t>
  </si>
  <si>
    <t>Gorund nut Tissa (Fd)</t>
  </si>
  <si>
    <t>PR/07/AD31/31-32</t>
  </si>
  <si>
    <t>Long bean A9 (St)</t>
  </si>
  <si>
    <t>PR/07/AD31/33-34</t>
  </si>
  <si>
    <t>Cowpea Bombeay(Br)</t>
  </si>
  <si>
    <t>PR/07/AD31/35-36</t>
  </si>
  <si>
    <t>Bitter gourd TV (St)</t>
  </si>
  <si>
    <t>PR/07/AD31/37</t>
  </si>
  <si>
    <t>Green gram MI6 (Rg)</t>
  </si>
  <si>
    <t>PR/07/AD31/38</t>
  </si>
  <si>
    <t>Bitter gourd TV (Ba)</t>
  </si>
  <si>
    <t>Cowpea Bombeay(Fd-II)</t>
  </si>
  <si>
    <t>PR/07/AD31/39-42</t>
  </si>
  <si>
    <t>PR/07/AD31/43-44</t>
  </si>
  <si>
    <t>Brinjal Plastic (Hy)</t>
  </si>
  <si>
    <t>PR/07/AD31/45-46</t>
  </si>
  <si>
    <t>Cowpea Waruni (Br)</t>
  </si>
  <si>
    <t>PR/07/AD31/47-49</t>
  </si>
  <si>
    <t>Gorund nut G-II</t>
  </si>
  <si>
    <t>PR/07/AD31/50-53</t>
  </si>
  <si>
    <t>Cowpea G-II</t>
  </si>
  <si>
    <t>Capsicum Moriya (Hy)</t>
  </si>
  <si>
    <t>PR/07/AD31/54-57</t>
  </si>
  <si>
    <t>PR/07/AD31/58-60</t>
  </si>
  <si>
    <t xml:space="preserve">Tomato Pathma </t>
  </si>
  <si>
    <t>PR/07/AD31/61-62</t>
  </si>
  <si>
    <t xml:space="preserve">Brinjal Leanakiri </t>
  </si>
  <si>
    <t>Chilli MICH3 (Com)</t>
  </si>
  <si>
    <t>PR/07/AD31/64</t>
  </si>
  <si>
    <t>Okra G-II</t>
  </si>
  <si>
    <t>PR/07/AD31/65-66</t>
  </si>
  <si>
    <t xml:space="preserve">Tomato Thilina </t>
  </si>
  <si>
    <t>PR/07/AD31/67-68</t>
  </si>
  <si>
    <t>Chilli KA2 (St-II)</t>
  </si>
  <si>
    <t>PR/07/AD31/69-70</t>
  </si>
  <si>
    <t>Long bean A9 (Ba)</t>
  </si>
  <si>
    <t>PR/07/AD31/71</t>
  </si>
  <si>
    <t xml:space="preserve">Tomato KC1 </t>
  </si>
  <si>
    <t>PR/07/AD31/72-74</t>
  </si>
  <si>
    <t>PR/07/AD31/75-76</t>
  </si>
  <si>
    <t>Okra MI5 (St)</t>
  </si>
  <si>
    <t>Chilli MICH (Hy1)</t>
  </si>
  <si>
    <t>Gorund nut Tissa (Fd-II)</t>
  </si>
  <si>
    <t>PR/07/AD31/29</t>
  </si>
  <si>
    <t>PR/07/AD31/30</t>
  </si>
  <si>
    <t>Capsicum  CA8 (St)</t>
  </si>
  <si>
    <t>Cost (Rs.)</t>
  </si>
  <si>
    <t>STR/02/135</t>
  </si>
  <si>
    <t>PR/06/AD31/93</t>
  </si>
  <si>
    <t>Bg 360 Com II</t>
  </si>
  <si>
    <t>BG 360 Br</t>
  </si>
  <si>
    <t>STR/02/63</t>
  </si>
  <si>
    <t>Single side Carbon paper</t>
  </si>
  <si>
    <t>Ruler 30cm- Steel</t>
  </si>
  <si>
    <t>Signature pen</t>
  </si>
  <si>
    <t>STR/02/145</t>
  </si>
  <si>
    <t>Micro Paddy Wonder</t>
  </si>
  <si>
    <t>Gen198/10/169-170</t>
  </si>
  <si>
    <t>Bentazone 480 g/l SL</t>
  </si>
  <si>
    <t>AR/04/171-174</t>
  </si>
  <si>
    <t>Raze Propanil +</t>
  </si>
  <si>
    <t>Long bean Hawari (Ba)</t>
  </si>
  <si>
    <t>PR/07/AD31/77-78</t>
  </si>
  <si>
    <t>PR/07/AD31/79-80</t>
  </si>
  <si>
    <t>Month: January 2025</t>
  </si>
  <si>
    <t>A4 Colour Sheet</t>
  </si>
  <si>
    <t>STR/02/147</t>
  </si>
  <si>
    <t>Month: February 2025</t>
  </si>
  <si>
    <t>AR/04/175-176</t>
  </si>
  <si>
    <t>AR/04/177-178</t>
  </si>
  <si>
    <t>Chlorantraniliprole</t>
  </si>
  <si>
    <t>PR/07/AD31/81-82</t>
  </si>
  <si>
    <t>PR/07/AD31/83-84</t>
  </si>
  <si>
    <t>Hot peper (Ba)</t>
  </si>
  <si>
    <t>PR/07/AD31/85-86</t>
  </si>
  <si>
    <t>Okra MI5 (St-II)</t>
  </si>
  <si>
    <t>Gen198/06/02</t>
  </si>
  <si>
    <t>Gen198/06/59</t>
  </si>
  <si>
    <t>Safety  Rubber Gloves</t>
  </si>
  <si>
    <t>Pair</t>
  </si>
  <si>
    <t>Month: March 2025</t>
  </si>
  <si>
    <t>Month: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</si>
</sst>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.00_);_(* \(#,##0.00\);_(* &quot;-&quot;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 Narrow"/>
      <family val="2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7" fontId="5" fillId="7" borderId="1" xfId="0" applyNumberFormat="1" applyFont="1" applyFill="1" applyBorder="1" applyAlignment="1">
      <alignment horizontal="center" vertical="center"/>
    </xf>
    <xf numFmtId="164" fontId="7" fillId="17" borderId="1" xfId="0" applyNumberFormat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7" fillId="18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7" fillId="19" borderId="1" xfId="0" applyNumberFormat="1" applyFont="1" applyFill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43" fontId="5" fillId="0" borderId="1" xfId="2" applyFont="1" applyBorder="1"/>
    <xf numFmtId="4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10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3BD6-E6F9-BE42-A7CA-2194252BD98B}">
  <dimension ref="A1:W108"/>
  <sheetViews>
    <sheetView zoomScale="134" zoomScaleNormal="110" workbookViewId="0">
      <pane ySplit="4" topLeftCell="A5" activePane="bottomLeft" state="frozen"/>
      <selection activeCell="S22" sqref="S22"/>
      <selection pane="bottomLeft" activeCell="E18" sqref="E18"/>
    </sheetView>
  </sheetViews>
  <sheetFormatPr baseColWidth="10" defaultColWidth="9.1640625" defaultRowHeight="14" x14ac:dyDescent="0.2"/>
  <cols>
    <col min="1" max="1" width="9.5" style="1" bestFit="1" customWidth="1"/>
    <col min="2" max="2" width="21.1640625" style="1" bestFit="1" customWidth="1"/>
    <col min="3" max="3" width="9.33203125" style="1" bestFit="1" customWidth="1"/>
    <col min="4" max="4" width="10.1640625" style="1" bestFit="1" customWidth="1"/>
    <col min="5" max="5" width="21.1640625" style="1" bestFit="1" customWidth="1"/>
    <col min="6" max="6" width="8.83203125" style="1" customWidth="1"/>
    <col min="7" max="7" width="3.5" style="1" customWidth="1"/>
    <col min="8" max="8" width="11" style="1" customWidth="1"/>
    <col min="9" max="9" width="9.5" style="1" customWidth="1"/>
    <col min="10" max="10" width="21.5" style="1" bestFit="1" customWidth="1"/>
    <col min="11" max="11" width="9.5" style="1" bestFit="1" customWidth="1"/>
    <col min="12" max="12" width="10.5" style="1" customWidth="1"/>
    <col min="13" max="13" width="12.33203125" style="1" customWidth="1"/>
    <col min="14" max="14" width="5.83203125" style="1" customWidth="1"/>
    <col min="15" max="15" width="9.1640625" style="1"/>
    <col min="16" max="16" width="11.5" style="1" bestFit="1" customWidth="1"/>
    <col min="17" max="17" width="9.5" style="1" bestFit="1" customWidth="1"/>
    <col min="18" max="18" width="10" style="1" bestFit="1" customWidth="1"/>
    <col min="19" max="19" width="9.1640625" style="1"/>
    <col min="20" max="20" width="9.83203125" style="1" bestFit="1" customWidth="1"/>
    <col min="21" max="21" width="9.1640625" style="1"/>
    <col min="22" max="22" width="11.5" style="1" bestFit="1" customWidth="1"/>
    <col min="23" max="16384" width="9.1640625" style="1"/>
  </cols>
  <sheetData>
    <row r="1" spans="1:23" x14ac:dyDescent="0.2">
      <c r="A1" s="78" t="s">
        <v>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Q1" s="8" t="s">
        <v>15</v>
      </c>
      <c r="R1" s="9" t="s">
        <v>11</v>
      </c>
      <c r="S1" s="9" t="s">
        <v>11</v>
      </c>
      <c r="T1" s="9"/>
      <c r="U1" s="9"/>
      <c r="V1" s="9"/>
      <c r="W1" s="8"/>
    </row>
    <row r="2" spans="1:23" x14ac:dyDescent="0.2">
      <c r="A2" s="10" t="s">
        <v>647</v>
      </c>
      <c r="B2" s="8"/>
      <c r="C2" s="8" t="s">
        <v>0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Q2" s="8"/>
      <c r="R2" s="8"/>
      <c r="S2" s="8"/>
      <c r="T2" s="8"/>
      <c r="U2" s="8"/>
      <c r="V2" s="8"/>
      <c r="W2" s="8"/>
    </row>
    <row r="3" spans="1:23" ht="25" customHeight="1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81" t="s">
        <v>21</v>
      </c>
      <c r="I3" s="83" t="s">
        <v>12</v>
      </c>
      <c r="J3" s="85" t="s">
        <v>10</v>
      </c>
      <c r="K3" s="85"/>
      <c r="L3" s="83" t="s">
        <v>13</v>
      </c>
      <c r="M3" s="86" t="s">
        <v>3</v>
      </c>
      <c r="N3" s="77" t="s">
        <v>32</v>
      </c>
      <c r="O3" s="77" t="s">
        <v>253</v>
      </c>
      <c r="P3" s="77" t="s">
        <v>254</v>
      </c>
      <c r="Q3" s="10" t="s">
        <v>14</v>
      </c>
      <c r="R3" s="8"/>
      <c r="S3" s="8"/>
      <c r="T3" s="8"/>
      <c r="U3" s="8"/>
      <c r="V3" s="8"/>
      <c r="W3" s="8"/>
    </row>
    <row r="4" spans="1:23" ht="25" customHeight="1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82"/>
      <c r="I4" s="84"/>
      <c r="J4" s="14" t="s">
        <v>2</v>
      </c>
      <c r="K4" s="14" t="s">
        <v>1</v>
      </c>
      <c r="L4" s="84"/>
      <c r="M4" s="87"/>
      <c r="N4" s="77"/>
      <c r="O4" s="77"/>
      <c r="P4" s="77"/>
      <c r="Q4" s="8"/>
      <c r="R4" s="15">
        <v>44080</v>
      </c>
      <c r="S4" s="15">
        <v>44092</v>
      </c>
      <c r="T4" s="15"/>
      <c r="U4" s="15"/>
      <c r="V4" s="15"/>
      <c r="W4" s="15" t="s">
        <v>6</v>
      </c>
    </row>
    <row r="5" spans="1:23" x14ac:dyDescent="0.2">
      <c r="A5" s="16">
        <v>45694</v>
      </c>
      <c r="B5" s="17" t="s">
        <v>78</v>
      </c>
      <c r="C5" s="17"/>
      <c r="D5" s="16">
        <v>45721</v>
      </c>
      <c r="E5" s="17" t="s">
        <v>78</v>
      </c>
      <c r="F5" s="17">
        <v>1000</v>
      </c>
      <c r="G5" s="17"/>
      <c r="H5" s="17" t="s">
        <v>75</v>
      </c>
      <c r="I5" s="17">
        <v>80</v>
      </c>
      <c r="J5" s="17" t="s">
        <v>76</v>
      </c>
      <c r="K5" s="17">
        <f t="shared" ref="K5:K14" si="0">I5+SUMIF($B$5:$B$48,J5,$C$5:$C$48)-SUMIF($E$5:$E$48,J5,$F$5:$F$48)</f>
        <v>35</v>
      </c>
      <c r="L5" s="17">
        <v>50</v>
      </c>
      <c r="M5" s="17" t="str">
        <f t="shared" ref="M5:M14" si="1">IF((K5+W5)&lt;L5,"Place Order","")</f>
        <v>Place Order</v>
      </c>
      <c r="N5" s="17" t="s">
        <v>77</v>
      </c>
      <c r="O5" s="40">
        <v>15</v>
      </c>
      <c r="P5" s="40">
        <f>K5*O5</f>
        <v>525</v>
      </c>
      <c r="Q5" s="8"/>
      <c r="R5" s="17"/>
      <c r="S5" s="17"/>
      <c r="T5" s="17"/>
      <c r="U5" s="17"/>
      <c r="V5" s="17"/>
      <c r="W5" s="17">
        <f>SUMIF($R$1:$V$1,"T",R5:V5)</f>
        <v>0</v>
      </c>
    </row>
    <row r="6" spans="1:23" x14ac:dyDescent="0.2">
      <c r="A6" s="16"/>
      <c r="B6" s="17"/>
      <c r="C6" s="17"/>
      <c r="D6" s="16">
        <v>45721</v>
      </c>
      <c r="E6" s="17" t="s">
        <v>96</v>
      </c>
      <c r="F6" s="17">
        <v>1</v>
      </c>
      <c r="G6" s="17"/>
      <c r="H6" s="17" t="s">
        <v>80</v>
      </c>
      <c r="I6" s="17">
        <v>54</v>
      </c>
      <c r="J6" s="17" t="s">
        <v>81</v>
      </c>
      <c r="K6" s="17">
        <f t="shared" si="0"/>
        <v>34</v>
      </c>
      <c r="L6" s="17">
        <v>250</v>
      </c>
      <c r="M6" s="17" t="str">
        <f t="shared" si="1"/>
        <v>Place Order</v>
      </c>
      <c r="N6" s="17" t="s">
        <v>77</v>
      </c>
      <c r="O6" s="60"/>
      <c r="P6" s="40">
        <f t="shared" ref="P6:P14" si="2">K6*O6</f>
        <v>0</v>
      </c>
      <c r="Q6" s="8"/>
      <c r="R6" s="17"/>
      <c r="S6" s="17"/>
      <c r="T6" s="17"/>
      <c r="U6" s="17"/>
      <c r="V6" s="17"/>
      <c r="W6" s="17">
        <f>SUMIF($R$1:$V$1,"T",R6:V6)</f>
        <v>0</v>
      </c>
    </row>
    <row r="7" spans="1:23" x14ac:dyDescent="0.2">
      <c r="A7" s="16"/>
      <c r="B7" s="17"/>
      <c r="C7" s="17"/>
      <c r="D7" s="16">
        <v>45721</v>
      </c>
      <c r="E7" s="17" t="s">
        <v>98</v>
      </c>
      <c r="F7" s="17">
        <v>1</v>
      </c>
      <c r="G7" s="17"/>
      <c r="H7" s="17" t="s">
        <v>83</v>
      </c>
      <c r="I7" s="17">
        <v>100</v>
      </c>
      <c r="J7" s="17" t="s">
        <v>82</v>
      </c>
      <c r="K7" s="17">
        <f t="shared" si="0"/>
        <v>100</v>
      </c>
      <c r="L7" s="17">
        <v>100</v>
      </c>
      <c r="M7" s="17" t="str">
        <f t="shared" si="1"/>
        <v/>
      </c>
      <c r="N7" s="17" t="s">
        <v>77</v>
      </c>
      <c r="O7" s="40">
        <v>1.8</v>
      </c>
      <c r="P7" s="40">
        <f t="shared" si="2"/>
        <v>180</v>
      </c>
      <c r="Q7" s="8"/>
      <c r="R7" s="17"/>
      <c r="S7" s="17"/>
      <c r="T7" s="17"/>
      <c r="U7" s="17"/>
      <c r="V7" s="17"/>
      <c r="W7" s="17">
        <f>SUMIF($R$1:$V$1,"T",R7:V7)</f>
        <v>0</v>
      </c>
    </row>
    <row r="8" spans="1:23" x14ac:dyDescent="0.2">
      <c r="A8" s="16"/>
      <c r="B8" s="17"/>
      <c r="C8" s="17"/>
      <c r="D8" s="16">
        <v>45721</v>
      </c>
      <c r="E8" s="17" t="s">
        <v>214</v>
      </c>
      <c r="F8" s="17">
        <v>2</v>
      </c>
      <c r="G8" s="17"/>
      <c r="H8" s="17" t="s">
        <v>85</v>
      </c>
      <c r="I8" s="17">
        <v>100</v>
      </c>
      <c r="J8" s="17" t="s">
        <v>84</v>
      </c>
      <c r="K8" s="17">
        <f>I8+SUMIF($B$5:$B$48,J8,$C$5:$C$48)-SUMIF($E$5:$E$48,J8,$F$5:$F$48)</f>
        <v>100</v>
      </c>
      <c r="L8" s="17">
        <v>250</v>
      </c>
      <c r="M8" s="17" t="str">
        <f t="shared" si="1"/>
        <v>Place Order</v>
      </c>
      <c r="N8" s="17" t="s">
        <v>77</v>
      </c>
      <c r="O8" s="40">
        <v>8</v>
      </c>
      <c r="P8" s="40">
        <f t="shared" si="2"/>
        <v>800</v>
      </c>
      <c r="Q8" s="8"/>
      <c r="R8" s="17"/>
      <c r="S8" s="17"/>
      <c r="T8" s="17"/>
      <c r="U8" s="17"/>
      <c r="V8" s="17"/>
      <c r="W8" s="17">
        <f>SUMIF($R$1:$V$1,"T",R8:V8)</f>
        <v>0</v>
      </c>
    </row>
    <row r="9" spans="1:23" x14ac:dyDescent="0.2">
      <c r="A9" s="16"/>
      <c r="B9" s="17"/>
      <c r="C9" s="17"/>
      <c r="D9" s="16">
        <v>45721</v>
      </c>
      <c r="E9" s="17" t="s">
        <v>76</v>
      </c>
      <c r="F9" s="17">
        <v>25</v>
      </c>
      <c r="G9" s="17"/>
      <c r="H9" s="17" t="s">
        <v>88</v>
      </c>
      <c r="I9" s="17">
        <v>150</v>
      </c>
      <c r="J9" s="17" t="s">
        <v>86</v>
      </c>
      <c r="K9" s="17">
        <f>I9+SUMIF($B$5:$B$48,J9,$C$5:$C$48)-SUMIF($E$5:$E$48,J9,$F$5:$F$48)</f>
        <v>150</v>
      </c>
      <c r="L9" s="17">
        <v>100</v>
      </c>
      <c r="M9" s="17" t="str">
        <f t="shared" si="1"/>
        <v/>
      </c>
      <c r="N9" s="17" t="s">
        <v>77</v>
      </c>
      <c r="O9" s="40">
        <v>12</v>
      </c>
      <c r="P9" s="40">
        <f t="shared" si="2"/>
        <v>1800</v>
      </c>
      <c r="Q9" s="8"/>
      <c r="R9" s="17"/>
      <c r="S9" s="17"/>
      <c r="T9" s="17"/>
      <c r="U9" s="17"/>
      <c r="V9" s="17"/>
      <c r="W9" s="17"/>
    </row>
    <row r="10" spans="1:23" x14ac:dyDescent="0.2">
      <c r="A10" s="16"/>
      <c r="B10" s="17"/>
      <c r="C10" s="17"/>
      <c r="D10" s="16">
        <v>45721</v>
      </c>
      <c r="E10" s="17" t="s">
        <v>121</v>
      </c>
      <c r="F10" s="17">
        <v>1</v>
      </c>
      <c r="G10" s="17"/>
      <c r="H10" s="17" t="s">
        <v>89</v>
      </c>
      <c r="I10" s="17">
        <v>15</v>
      </c>
      <c r="J10" s="17" t="s">
        <v>87</v>
      </c>
      <c r="K10" s="17">
        <f t="shared" si="0"/>
        <v>15</v>
      </c>
      <c r="L10" s="17">
        <v>100</v>
      </c>
      <c r="M10" s="17" t="str">
        <f t="shared" si="1"/>
        <v>Place Order</v>
      </c>
      <c r="N10" s="17" t="s">
        <v>77</v>
      </c>
      <c r="O10" s="40">
        <v>25</v>
      </c>
      <c r="P10" s="40">
        <f t="shared" si="2"/>
        <v>375</v>
      </c>
      <c r="Q10" s="8"/>
      <c r="R10" s="17"/>
      <c r="S10" s="17"/>
      <c r="T10" s="17"/>
      <c r="U10" s="17"/>
      <c r="V10" s="17"/>
      <c r="W10" s="17"/>
    </row>
    <row r="11" spans="1:23" x14ac:dyDescent="0.2">
      <c r="A11" s="16"/>
      <c r="B11" s="17"/>
      <c r="C11" s="17"/>
      <c r="D11" s="16">
        <v>45721</v>
      </c>
      <c r="E11" s="17" t="s">
        <v>135</v>
      </c>
      <c r="F11" s="17">
        <v>1</v>
      </c>
      <c r="G11" s="17"/>
      <c r="H11" s="17" t="s">
        <v>91</v>
      </c>
      <c r="I11" s="17">
        <v>30</v>
      </c>
      <c r="J11" s="17" t="s">
        <v>90</v>
      </c>
      <c r="K11" s="17">
        <f t="shared" si="0"/>
        <v>30</v>
      </c>
      <c r="L11" s="17">
        <v>15</v>
      </c>
      <c r="M11" s="17" t="str">
        <f t="shared" si="1"/>
        <v/>
      </c>
      <c r="N11" s="17" t="s">
        <v>77</v>
      </c>
      <c r="O11" s="40">
        <v>16</v>
      </c>
      <c r="P11" s="40">
        <f t="shared" si="2"/>
        <v>480</v>
      </c>
      <c r="Q11" s="8"/>
      <c r="R11" s="17"/>
      <c r="S11" s="17"/>
      <c r="T11" s="17"/>
      <c r="U11" s="17"/>
      <c r="V11" s="17"/>
      <c r="W11" s="17"/>
    </row>
    <row r="12" spans="1:23" x14ac:dyDescent="0.2">
      <c r="A12" s="16"/>
      <c r="B12" s="17"/>
      <c r="C12" s="17"/>
      <c r="D12" s="16">
        <v>45721</v>
      </c>
      <c r="E12" s="17" t="s">
        <v>210</v>
      </c>
      <c r="F12" s="17">
        <v>2</v>
      </c>
      <c r="G12" s="17"/>
      <c r="H12" s="17" t="s">
        <v>93</v>
      </c>
      <c r="I12" s="17">
        <v>20</v>
      </c>
      <c r="J12" s="17" t="s">
        <v>92</v>
      </c>
      <c r="K12" s="17">
        <f t="shared" si="0"/>
        <v>18</v>
      </c>
      <c r="L12" s="17">
        <v>15</v>
      </c>
      <c r="M12" s="17" t="str">
        <f t="shared" si="1"/>
        <v/>
      </c>
      <c r="N12" s="17" t="s">
        <v>77</v>
      </c>
      <c r="O12" s="40">
        <v>16</v>
      </c>
      <c r="P12" s="40">
        <f t="shared" si="2"/>
        <v>288</v>
      </c>
      <c r="Q12" s="8"/>
      <c r="R12" s="17"/>
      <c r="S12" s="17"/>
      <c r="T12" s="17"/>
      <c r="U12" s="17"/>
      <c r="V12" s="17"/>
      <c r="W12" s="17"/>
    </row>
    <row r="13" spans="1:23" x14ac:dyDescent="0.2">
      <c r="A13" s="16"/>
      <c r="B13" s="17"/>
      <c r="C13" s="17"/>
      <c r="D13" s="16">
        <v>45721</v>
      </c>
      <c r="E13" s="17" t="s">
        <v>92</v>
      </c>
      <c r="F13" s="17">
        <v>2</v>
      </c>
      <c r="G13" s="17"/>
      <c r="H13" s="17" t="s">
        <v>94</v>
      </c>
      <c r="I13" s="17">
        <v>3</v>
      </c>
      <c r="J13" s="17" t="s">
        <v>95</v>
      </c>
      <c r="K13" s="17">
        <f t="shared" si="0"/>
        <v>3</v>
      </c>
      <c r="L13" s="17">
        <v>15</v>
      </c>
      <c r="M13" s="17" t="str">
        <f t="shared" si="1"/>
        <v>Place Order</v>
      </c>
      <c r="N13" s="17" t="s">
        <v>77</v>
      </c>
      <c r="O13" s="40">
        <v>70</v>
      </c>
      <c r="P13" s="40">
        <f t="shared" si="2"/>
        <v>210</v>
      </c>
      <c r="Q13" s="8"/>
      <c r="R13" s="17"/>
      <c r="S13" s="17"/>
      <c r="T13" s="17"/>
      <c r="U13" s="17"/>
      <c r="V13" s="17"/>
      <c r="W13" s="17"/>
    </row>
    <row r="14" spans="1:23" x14ac:dyDescent="0.2">
      <c r="A14" s="16"/>
      <c r="B14" s="17"/>
      <c r="C14" s="17"/>
      <c r="D14" s="16">
        <v>45726</v>
      </c>
      <c r="E14" s="17" t="s">
        <v>76</v>
      </c>
      <c r="F14" s="17">
        <v>20</v>
      </c>
      <c r="G14" s="17"/>
      <c r="H14" s="17" t="s">
        <v>215</v>
      </c>
      <c r="I14" s="17">
        <v>5</v>
      </c>
      <c r="J14" s="17" t="s">
        <v>620</v>
      </c>
      <c r="K14" s="17">
        <f t="shared" si="0"/>
        <v>5</v>
      </c>
      <c r="L14" s="17">
        <v>10</v>
      </c>
      <c r="M14" s="17" t="str">
        <f t="shared" si="1"/>
        <v>Place Order</v>
      </c>
      <c r="N14" s="17" t="s">
        <v>77</v>
      </c>
      <c r="O14" s="40">
        <v>100</v>
      </c>
      <c r="P14" s="40">
        <f t="shared" si="2"/>
        <v>500</v>
      </c>
      <c r="Q14" s="8"/>
      <c r="R14" s="17"/>
      <c r="S14" s="17"/>
      <c r="T14" s="17"/>
      <c r="U14" s="17"/>
      <c r="V14" s="17"/>
      <c r="W14" s="17"/>
    </row>
    <row r="15" spans="1:23" x14ac:dyDescent="0.2">
      <c r="A15" s="16"/>
      <c r="B15" s="17"/>
      <c r="C15" s="17"/>
      <c r="D15" s="16">
        <v>45726</v>
      </c>
      <c r="E15" s="17" t="s">
        <v>81</v>
      </c>
      <c r="F15" s="17">
        <v>20</v>
      </c>
      <c r="G15" s="17"/>
      <c r="H15" s="17" t="s">
        <v>215</v>
      </c>
      <c r="I15" s="17">
        <v>2</v>
      </c>
      <c r="J15" s="17" t="s">
        <v>216</v>
      </c>
      <c r="K15" s="17">
        <f t="shared" ref="K15:K56" si="3">I15+SUMIF($B$5:$B$48,J15,$C$5:$C$48)-SUMIF($E$5:$E$48,J15,$F$5:$F$48)</f>
        <v>2</v>
      </c>
      <c r="L15" s="17">
        <v>10</v>
      </c>
      <c r="M15" s="17" t="str">
        <f t="shared" ref="M15:M16" si="4">IF((K15+W15)&lt;L15,"Place Order","")</f>
        <v>Place Order</v>
      </c>
      <c r="N15" s="17" t="s">
        <v>77</v>
      </c>
      <c r="O15" s="40">
        <v>150</v>
      </c>
      <c r="P15" s="40">
        <f t="shared" ref="P15:P55" si="5">K15*O15</f>
        <v>300</v>
      </c>
      <c r="Q15" s="8"/>
      <c r="R15" s="17"/>
      <c r="S15" s="17"/>
      <c r="T15" s="17"/>
      <c r="U15" s="17"/>
      <c r="V15" s="17"/>
      <c r="W15" s="17"/>
    </row>
    <row r="16" spans="1:23" x14ac:dyDescent="0.2">
      <c r="A16" s="16"/>
      <c r="B16" s="17"/>
      <c r="C16" s="17"/>
      <c r="D16" s="16"/>
      <c r="E16" s="17"/>
      <c r="F16" s="17"/>
      <c r="G16" s="17"/>
      <c r="H16" s="17" t="s">
        <v>97</v>
      </c>
      <c r="I16" s="17">
        <v>28</v>
      </c>
      <c r="J16" s="17" t="s">
        <v>96</v>
      </c>
      <c r="K16" s="17">
        <f t="shared" si="3"/>
        <v>27</v>
      </c>
      <c r="L16" s="17">
        <v>10</v>
      </c>
      <c r="M16" s="17" t="str">
        <f t="shared" si="4"/>
        <v/>
      </c>
      <c r="N16" s="17" t="s">
        <v>77</v>
      </c>
      <c r="O16" s="40">
        <v>95</v>
      </c>
      <c r="P16" s="40">
        <f t="shared" si="5"/>
        <v>2565</v>
      </c>
      <c r="Q16" s="8"/>
      <c r="R16" s="17"/>
      <c r="S16" s="17"/>
      <c r="T16" s="17"/>
      <c r="U16" s="17"/>
      <c r="V16" s="17"/>
      <c r="W16" s="17"/>
    </row>
    <row r="17" spans="1:23" x14ac:dyDescent="0.2">
      <c r="A17" s="16"/>
      <c r="B17" s="17"/>
      <c r="C17" s="17"/>
      <c r="D17" s="16"/>
      <c r="E17" s="17"/>
      <c r="F17" s="17"/>
      <c r="G17" s="17"/>
      <c r="H17" s="17" t="s">
        <v>99</v>
      </c>
      <c r="I17" s="17">
        <v>23</v>
      </c>
      <c r="J17" s="17" t="s">
        <v>98</v>
      </c>
      <c r="K17" s="17">
        <f t="shared" si="3"/>
        <v>22</v>
      </c>
      <c r="L17" s="17">
        <v>20</v>
      </c>
      <c r="M17" s="17" t="str">
        <f t="shared" ref="M17:M45" si="6">IF((K17+W16)&lt;L17,"Place Order","")</f>
        <v/>
      </c>
      <c r="N17" s="17" t="s">
        <v>77</v>
      </c>
      <c r="O17" s="40">
        <v>95</v>
      </c>
      <c r="P17" s="40">
        <f t="shared" si="5"/>
        <v>2090</v>
      </c>
      <c r="Q17" s="8"/>
      <c r="R17" s="17"/>
      <c r="S17" s="17"/>
      <c r="T17" s="17"/>
      <c r="U17" s="17"/>
      <c r="V17" s="17"/>
      <c r="W17" s="17"/>
    </row>
    <row r="18" spans="1:23" x14ac:dyDescent="0.2">
      <c r="A18" s="16"/>
      <c r="B18" s="17"/>
      <c r="C18" s="17"/>
      <c r="D18" s="16"/>
      <c r="E18" s="17"/>
      <c r="F18" s="17"/>
      <c r="G18" s="17"/>
      <c r="H18" s="17" t="s">
        <v>101</v>
      </c>
      <c r="I18" s="17">
        <v>0</v>
      </c>
      <c r="J18" s="17" t="s">
        <v>100</v>
      </c>
      <c r="K18" s="17">
        <f t="shared" si="3"/>
        <v>0</v>
      </c>
      <c r="L18" s="17">
        <v>20</v>
      </c>
      <c r="M18" s="17" t="str">
        <f t="shared" si="6"/>
        <v>Place Order</v>
      </c>
      <c r="N18" s="17" t="s">
        <v>77</v>
      </c>
      <c r="O18" s="40"/>
      <c r="P18" s="40">
        <f t="shared" si="5"/>
        <v>0</v>
      </c>
      <c r="Q18" s="8"/>
      <c r="R18" s="17"/>
      <c r="S18" s="17"/>
      <c r="T18" s="17"/>
      <c r="U18" s="17"/>
      <c r="V18" s="17"/>
      <c r="W18" s="17"/>
    </row>
    <row r="19" spans="1:23" x14ac:dyDescent="0.2">
      <c r="A19" s="16"/>
      <c r="B19" s="17"/>
      <c r="C19" s="17"/>
      <c r="D19" s="16"/>
      <c r="E19" s="17"/>
      <c r="F19" s="17"/>
      <c r="G19" s="17"/>
      <c r="H19" s="17" t="s">
        <v>102</v>
      </c>
      <c r="I19" s="17">
        <v>13</v>
      </c>
      <c r="J19" s="17" t="s">
        <v>214</v>
      </c>
      <c r="K19" s="17">
        <f t="shared" si="3"/>
        <v>11</v>
      </c>
      <c r="L19" s="17">
        <v>5</v>
      </c>
      <c r="M19" s="17" t="str">
        <f t="shared" si="6"/>
        <v/>
      </c>
      <c r="N19" s="17" t="s">
        <v>77</v>
      </c>
      <c r="O19" s="40">
        <v>290</v>
      </c>
      <c r="P19" s="40">
        <f t="shared" si="5"/>
        <v>3190</v>
      </c>
      <c r="Q19" s="8"/>
      <c r="R19" s="17"/>
      <c r="S19" s="17"/>
      <c r="T19" s="17"/>
      <c r="U19" s="17"/>
      <c r="V19" s="17"/>
      <c r="W19" s="17"/>
    </row>
    <row r="20" spans="1:23" x14ac:dyDescent="0.2">
      <c r="A20" s="16"/>
      <c r="B20" s="17"/>
      <c r="C20" s="17"/>
      <c r="D20" s="16"/>
      <c r="E20" s="17"/>
      <c r="F20" s="17"/>
      <c r="G20" s="17"/>
      <c r="H20" s="17" t="s">
        <v>104</v>
      </c>
      <c r="I20" s="17">
        <v>10</v>
      </c>
      <c r="J20" s="17" t="s">
        <v>103</v>
      </c>
      <c r="K20" s="17">
        <f t="shared" si="3"/>
        <v>10</v>
      </c>
      <c r="L20" s="17">
        <v>5</v>
      </c>
      <c r="M20" s="17" t="str">
        <f t="shared" si="6"/>
        <v/>
      </c>
      <c r="N20" s="17" t="s">
        <v>77</v>
      </c>
      <c r="O20" s="40">
        <v>17</v>
      </c>
      <c r="P20" s="40">
        <f t="shared" si="5"/>
        <v>170</v>
      </c>
      <c r="Q20" s="8"/>
      <c r="R20" s="17"/>
      <c r="S20" s="17"/>
      <c r="T20" s="17"/>
      <c r="U20" s="17"/>
      <c r="V20" s="17"/>
      <c r="W20" s="17"/>
    </row>
    <row r="21" spans="1:23" x14ac:dyDescent="0.2">
      <c r="A21" s="16"/>
      <c r="B21" s="17"/>
      <c r="C21" s="17"/>
      <c r="D21" s="16"/>
      <c r="E21" s="17"/>
      <c r="F21" s="17"/>
      <c r="G21" s="17"/>
      <c r="H21" s="17" t="s">
        <v>106</v>
      </c>
      <c r="I21" s="17">
        <v>0</v>
      </c>
      <c r="J21" s="17" t="s">
        <v>105</v>
      </c>
      <c r="K21" s="17">
        <f t="shared" si="3"/>
        <v>0</v>
      </c>
      <c r="L21" s="17">
        <v>10</v>
      </c>
      <c r="M21" s="17" t="str">
        <f t="shared" si="6"/>
        <v>Place Order</v>
      </c>
      <c r="N21" s="17" t="s">
        <v>77</v>
      </c>
      <c r="O21" s="40"/>
      <c r="P21" s="40">
        <f t="shared" si="5"/>
        <v>0</v>
      </c>
      <c r="Q21" s="8"/>
      <c r="R21" s="17"/>
      <c r="S21" s="17"/>
      <c r="T21" s="17"/>
      <c r="U21" s="17">
        <f>S22+S31+S20</f>
        <v>0</v>
      </c>
      <c r="V21" s="17"/>
      <c r="W21" s="17"/>
    </row>
    <row r="22" spans="1:23" x14ac:dyDescent="0.2">
      <c r="A22" s="16"/>
      <c r="B22" s="17"/>
      <c r="C22" s="17"/>
      <c r="D22" s="16"/>
      <c r="E22" s="17"/>
      <c r="F22" s="17"/>
      <c r="G22" s="17"/>
      <c r="H22" s="17" t="s">
        <v>109</v>
      </c>
      <c r="I22" s="17">
        <v>0</v>
      </c>
      <c r="J22" s="17" t="s">
        <v>107</v>
      </c>
      <c r="K22" s="17">
        <f t="shared" si="3"/>
        <v>0</v>
      </c>
      <c r="L22" s="17">
        <v>10</v>
      </c>
      <c r="M22" s="17" t="str">
        <f t="shared" si="6"/>
        <v>Place Order</v>
      </c>
      <c r="N22" s="17" t="s">
        <v>77</v>
      </c>
      <c r="O22" s="40"/>
      <c r="P22" s="40">
        <f t="shared" si="5"/>
        <v>0</v>
      </c>
      <c r="Q22" s="8"/>
      <c r="R22" s="17"/>
      <c r="S22" s="17"/>
      <c r="T22" s="17"/>
      <c r="U22" s="17" t="s">
        <v>67</v>
      </c>
      <c r="V22" s="17"/>
      <c r="W22" s="17"/>
    </row>
    <row r="23" spans="1:23" x14ac:dyDescent="0.2">
      <c r="A23" s="16"/>
      <c r="B23" s="17"/>
      <c r="C23" s="17"/>
      <c r="D23" s="16"/>
      <c r="E23" s="17"/>
      <c r="F23" s="17"/>
      <c r="G23" s="17"/>
      <c r="H23" s="17" t="s">
        <v>110</v>
      </c>
      <c r="I23" s="17">
        <v>17</v>
      </c>
      <c r="J23" s="17" t="s">
        <v>133</v>
      </c>
      <c r="K23" s="17">
        <f t="shared" si="3"/>
        <v>17</v>
      </c>
      <c r="L23" s="17">
        <v>500</v>
      </c>
      <c r="M23" s="17" t="str">
        <f t="shared" si="6"/>
        <v>Place Order</v>
      </c>
      <c r="N23" s="17" t="s">
        <v>108</v>
      </c>
      <c r="O23" s="40">
        <v>140</v>
      </c>
      <c r="P23" s="40">
        <f t="shared" si="5"/>
        <v>2380</v>
      </c>
      <c r="Q23" s="8"/>
      <c r="R23" s="17"/>
      <c r="S23" s="17"/>
      <c r="T23" s="17"/>
      <c r="U23" s="17"/>
      <c r="V23" s="17"/>
      <c r="W23" s="17"/>
    </row>
    <row r="24" spans="1:23" x14ac:dyDescent="0.2">
      <c r="A24" s="16"/>
      <c r="B24" s="17"/>
      <c r="C24" s="17"/>
      <c r="D24" s="16"/>
      <c r="E24" s="17"/>
      <c r="F24" s="17"/>
      <c r="G24" s="17"/>
      <c r="H24" s="17" t="s">
        <v>391</v>
      </c>
      <c r="I24" s="17">
        <v>10</v>
      </c>
      <c r="J24" s="17" t="s">
        <v>134</v>
      </c>
      <c r="K24" s="17">
        <f t="shared" si="3"/>
        <v>10</v>
      </c>
      <c r="L24" s="17">
        <v>10</v>
      </c>
      <c r="M24" s="17" t="str">
        <f t="shared" si="6"/>
        <v/>
      </c>
      <c r="N24" s="17" t="s">
        <v>111</v>
      </c>
      <c r="O24" s="40">
        <v>365</v>
      </c>
      <c r="P24" s="40">
        <f t="shared" si="5"/>
        <v>3650</v>
      </c>
      <c r="Q24" s="8"/>
      <c r="R24" s="17"/>
      <c r="S24" s="17"/>
      <c r="T24" s="17"/>
      <c r="U24" s="17"/>
      <c r="V24" s="17"/>
      <c r="W24" s="17"/>
    </row>
    <row r="25" spans="1:23" x14ac:dyDescent="0.2">
      <c r="A25" s="16"/>
      <c r="B25" s="17"/>
      <c r="C25" s="17"/>
      <c r="D25" s="16"/>
      <c r="E25" s="17"/>
      <c r="F25" s="17"/>
      <c r="G25" s="17"/>
      <c r="H25" s="17" t="s">
        <v>112</v>
      </c>
      <c r="I25" s="17">
        <v>0</v>
      </c>
      <c r="J25" s="17" t="s">
        <v>113</v>
      </c>
      <c r="K25" s="17">
        <f t="shared" si="3"/>
        <v>0</v>
      </c>
      <c r="L25" s="17">
        <v>10</v>
      </c>
      <c r="M25" s="17" t="str">
        <f t="shared" si="6"/>
        <v>Place Order</v>
      </c>
      <c r="N25" s="17" t="s">
        <v>111</v>
      </c>
      <c r="O25" s="40"/>
      <c r="P25" s="40">
        <f t="shared" si="5"/>
        <v>0</v>
      </c>
      <c r="Q25" s="8"/>
      <c r="R25" s="17"/>
      <c r="S25" s="17"/>
      <c r="T25" s="17"/>
      <c r="U25" s="17"/>
      <c r="V25" s="17"/>
      <c r="W25" s="17"/>
    </row>
    <row r="26" spans="1:23" x14ac:dyDescent="0.2">
      <c r="A26" s="16"/>
      <c r="B26" s="17"/>
      <c r="C26" s="17"/>
      <c r="D26" s="16"/>
      <c r="E26" s="17"/>
      <c r="F26" s="17"/>
      <c r="G26" s="17"/>
      <c r="H26" s="17" t="s">
        <v>114</v>
      </c>
      <c r="I26" s="17">
        <v>0</v>
      </c>
      <c r="J26" s="17" t="s">
        <v>115</v>
      </c>
      <c r="K26" s="17">
        <f t="shared" si="3"/>
        <v>0</v>
      </c>
      <c r="L26" s="17">
        <v>5</v>
      </c>
      <c r="M26" s="17" t="str">
        <f t="shared" si="6"/>
        <v>Place Order</v>
      </c>
      <c r="N26" s="17" t="s">
        <v>77</v>
      </c>
      <c r="O26" s="40"/>
      <c r="P26" s="40">
        <f t="shared" si="5"/>
        <v>0</v>
      </c>
      <c r="Q26" s="8"/>
      <c r="R26" s="17"/>
      <c r="S26" s="17"/>
      <c r="T26" s="17"/>
      <c r="U26" s="17"/>
      <c r="V26" s="17"/>
      <c r="W26" s="17"/>
    </row>
    <row r="27" spans="1:23" x14ac:dyDescent="0.2">
      <c r="A27" s="16"/>
      <c r="B27" s="17"/>
      <c r="C27" s="17"/>
      <c r="D27" s="16"/>
      <c r="E27" s="17"/>
      <c r="F27" s="17"/>
      <c r="G27" s="17"/>
      <c r="H27" s="17" t="s">
        <v>116</v>
      </c>
      <c r="I27" s="17">
        <v>0</v>
      </c>
      <c r="J27" s="17" t="s">
        <v>117</v>
      </c>
      <c r="K27" s="17">
        <f t="shared" si="3"/>
        <v>0</v>
      </c>
      <c r="L27" s="17">
        <v>10</v>
      </c>
      <c r="M27" s="17" t="str">
        <f t="shared" si="6"/>
        <v>Place Order</v>
      </c>
      <c r="N27" s="17" t="s">
        <v>77</v>
      </c>
      <c r="O27" s="40"/>
      <c r="P27" s="40">
        <f t="shared" si="5"/>
        <v>0</v>
      </c>
      <c r="Q27" s="8"/>
      <c r="R27" s="17"/>
      <c r="S27" s="17"/>
      <c r="T27" s="17"/>
      <c r="U27" s="17"/>
      <c r="V27" s="17"/>
      <c r="W27" s="17"/>
    </row>
    <row r="28" spans="1:23" x14ac:dyDescent="0.2">
      <c r="A28" s="16"/>
      <c r="B28" s="17"/>
      <c r="C28" s="17"/>
      <c r="D28" s="16"/>
      <c r="E28" s="17"/>
      <c r="F28" s="17"/>
      <c r="G28" s="17"/>
      <c r="H28" s="17" t="s">
        <v>392</v>
      </c>
      <c r="I28" s="17">
        <v>11</v>
      </c>
      <c r="J28" s="17" t="s">
        <v>118</v>
      </c>
      <c r="K28" s="17">
        <f t="shared" si="3"/>
        <v>11</v>
      </c>
      <c r="L28" s="17">
        <v>10</v>
      </c>
      <c r="M28" s="17" t="str">
        <f t="shared" si="6"/>
        <v/>
      </c>
      <c r="N28" s="17" t="s">
        <v>77</v>
      </c>
      <c r="O28" s="40">
        <v>70</v>
      </c>
      <c r="P28" s="40">
        <f t="shared" si="5"/>
        <v>770</v>
      </c>
      <c r="Q28" s="8"/>
      <c r="R28" s="17"/>
      <c r="S28" s="17"/>
      <c r="T28" s="17"/>
      <c r="U28" s="17"/>
      <c r="V28" s="17"/>
      <c r="W28" s="17"/>
    </row>
    <row r="29" spans="1:23" x14ac:dyDescent="0.2">
      <c r="A29" s="16"/>
      <c r="B29" s="17"/>
      <c r="C29" s="17"/>
      <c r="D29" s="16"/>
      <c r="E29" s="17"/>
      <c r="F29" s="17"/>
      <c r="G29" s="17"/>
      <c r="H29" s="17" t="s">
        <v>119</v>
      </c>
      <c r="I29" s="17">
        <v>7</v>
      </c>
      <c r="J29" s="17" t="s">
        <v>121</v>
      </c>
      <c r="K29" s="17">
        <f t="shared" si="3"/>
        <v>6</v>
      </c>
      <c r="L29" s="17">
        <v>10</v>
      </c>
      <c r="M29" s="17" t="str">
        <f t="shared" si="6"/>
        <v>Place Order</v>
      </c>
      <c r="N29" s="17" t="s">
        <v>77</v>
      </c>
      <c r="O29" s="40">
        <v>55</v>
      </c>
      <c r="P29" s="40">
        <f t="shared" si="5"/>
        <v>330</v>
      </c>
      <c r="Q29" s="8"/>
      <c r="R29" s="17"/>
      <c r="S29" s="17"/>
      <c r="T29" s="17"/>
      <c r="U29" s="17"/>
      <c r="V29" s="17"/>
      <c r="W29" s="17"/>
    </row>
    <row r="30" spans="1:23" x14ac:dyDescent="0.2">
      <c r="A30" s="16"/>
      <c r="B30" s="17"/>
      <c r="C30" s="17"/>
      <c r="D30" s="16"/>
      <c r="E30" s="17"/>
      <c r="F30" s="17"/>
      <c r="G30" s="17"/>
      <c r="H30" s="17" t="s">
        <v>393</v>
      </c>
      <c r="I30" s="17">
        <v>14</v>
      </c>
      <c r="J30" s="17" t="s">
        <v>135</v>
      </c>
      <c r="K30" s="17">
        <f t="shared" si="3"/>
        <v>13</v>
      </c>
      <c r="L30" s="17">
        <v>5</v>
      </c>
      <c r="M30" s="17" t="str">
        <f t="shared" si="6"/>
        <v/>
      </c>
      <c r="N30" s="17" t="s">
        <v>120</v>
      </c>
      <c r="O30" s="40">
        <v>50</v>
      </c>
      <c r="P30" s="40">
        <f t="shared" si="5"/>
        <v>650</v>
      </c>
      <c r="Q30" s="8"/>
      <c r="R30" s="17"/>
      <c r="S30" s="17"/>
      <c r="T30" s="17"/>
      <c r="U30" s="17"/>
      <c r="V30" s="17"/>
      <c r="W30" s="17"/>
    </row>
    <row r="31" spans="1:23" x14ac:dyDescent="0.2">
      <c r="A31" s="16"/>
      <c r="B31" s="17"/>
      <c r="C31" s="17"/>
      <c r="D31" s="16"/>
      <c r="E31" s="17"/>
      <c r="F31" s="17"/>
      <c r="G31" s="17"/>
      <c r="H31" s="17" t="s">
        <v>618</v>
      </c>
      <c r="I31" s="17">
        <v>100</v>
      </c>
      <c r="J31" s="17" t="s">
        <v>619</v>
      </c>
      <c r="K31" s="17">
        <f t="shared" si="3"/>
        <v>100</v>
      </c>
      <c r="L31" s="17">
        <v>10</v>
      </c>
      <c r="M31" s="17" t="str">
        <f t="shared" si="6"/>
        <v/>
      </c>
      <c r="N31" s="17" t="s">
        <v>120</v>
      </c>
      <c r="O31" s="40">
        <v>11.5</v>
      </c>
      <c r="P31" s="40">
        <f t="shared" si="5"/>
        <v>1150</v>
      </c>
      <c r="Q31" s="8"/>
      <c r="R31" s="17"/>
      <c r="S31" s="17"/>
      <c r="T31" s="17"/>
      <c r="U31" s="17"/>
      <c r="V31" s="17"/>
      <c r="W31" s="17"/>
    </row>
    <row r="32" spans="1:23" x14ac:dyDescent="0.2">
      <c r="A32" s="16"/>
      <c r="B32" s="17"/>
      <c r="C32" s="17"/>
      <c r="D32" s="16"/>
      <c r="E32" s="17"/>
      <c r="F32" s="17"/>
      <c r="G32" s="17"/>
      <c r="H32" s="17" t="s">
        <v>122</v>
      </c>
      <c r="I32" s="17">
        <v>10</v>
      </c>
      <c r="J32" s="17" t="s">
        <v>131</v>
      </c>
      <c r="K32" s="17">
        <f t="shared" si="3"/>
        <v>10</v>
      </c>
      <c r="L32" s="17">
        <v>10</v>
      </c>
      <c r="M32" s="17" t="str">
        <f t="shared" si="6"/>
        <v/>
      </c>
      <c r="N32" s="17" t="s">
        <v>120</v>
      </c>
      <c r="O32" s="40">
        <v>230</v>
      </c>
      <c r="P32" s="40">
        <f t="shared" si="5"/>
        <v>2300</v>
      </c>
      <c r="Q32" s="8"/>
      <c r="R32" s="17"/>
      <c r="S32" s="17"/>
      <c r="T32" s="17"/>
      <c r="U32" s="17"/>
      <c r="V32" s="17"/>
      <c r="W32" s="17"/>
    </row>
    <row r="33" spans="1:23" x14ac:dyDescent="0.2">
      <c r="A33" s="16"/>
      <c r="B33" s="17"/>
      <c r="C33" s="17"/>
      <c r="D33" s="16"/>
      <c r="E33" s="17"/>
      <c r="F33" s="17"/>
      <c r="G33" s="17"/>
      <c r="H33" s="17" t="s">
        <v>124</v>
      </c>
      <c r="I33" s="17">
        <v>10</v>
      </c>
      <c r="J33" s="17" t="s">
        <v>123</v>
      </c>
      <c r="K33" s="17">
        <f t="shared" si="3"/>
        <v>10</v>
      </c>
      <c r="L33" s="17">
        <v>10</v>
      </c>
      <c r="M33" s="17" t="str">
        <f t="shared" si="6"/>
        <v/>
      </c>
      <c r="N33" s="17" t="s">
        <v>77</v>
      </c>
      <c r="O33" s="40">
        <v>140</v>
      </c>
      <c r="P33" s="40">
        <f t="shared" si="5"/>
        <v>1400</v>
      </c>
      <c r="Q33" s="8"/>
      <c r="R33" s="17"/>
      <c r="S33" s="17"/>
      <c r="T33" s="17"/>
      <c r="U33" s="17"/>
      <c r="V33" s="17"/>
      <c r="W33" s="17"/>
    </row>
    <row r="34" spans="1:23" x14ac:dyDescent="0.2">
      <c r="A34" s="16"/>
      <c r="B34" s="17"/>
      <c r="C34" s="17"/>
      <c r="D34" s="16"/>
      <c r="E34" s="17"/>
      <c r="F34" s="17"/>
      <c r="G34" s="17"/>
      <c r="H34" s="17" t="s">
        <v>394</v>
      </c>
      <c r="I34" s="17">
        <v>0</v>
      </c>
      <c r="J34" s="17" t="s">
        <v>387</v>
      </c>
      <c r="K34" s="17">
        <f t="shared" si="3"/>
        <v>0</v>
      </c>
      <c r="L34" s="17">
        <v>5</v>
      </c>
      <c r="M34" s="17" t="str">
        <f t="shared" si="6"/>
        <v>Place Order</v>
      </c>
      <c r="N34" s="17" t="s">
        <v>77</v>
      </c>
      <c r="O34" s="40"/>
      <c r="P34" s="40">
        <f t="shared" si="5"/>
        <v>0</v>
      </c>
      <c r="Q34" s="8"/>
      <c r="R34" s="17"/>
      <c r="S34" s="17"/>
      <c r="T34" s="17"/>
      <c r="U34" s="17"/>
      <c r="V34" s="17"/>
      <c r="W34" s="17"/>
    </row>
    <row r="35" spans="1:23" x14ac:dyDescent="0.2">
      <c r="A35" s="16"/>
      <c r="B35" s="17"/>
      <c r="C35" s="17"/>
      <c r="D35" s="16"/>
      <c r="E35" s="17"/>
      <c r="F35" s="17"/>
      <c r="G35" s="17"/>
      <c r="H35" s="17" t="s">
        <v>125</v>
      </c>
      <c r="I35" s="17">
        <v>10</v>
      </c>
      <c r="J35" s="17" t="s">
        <v>126</v>
      </c>
      <c r="K35" s="17">
        <f t="shared" si="3"/>
        <v>10</v>
      </c>
      <c r="L35" s="17">
        <v>10</v>
      </c>
      <c r="M35" s="17" t="str">
        <f t="shared" si="6"/>
        <v/>
      </c>
      <c r="N35" s="17" t="s">
        <v>77</v>
      </c>
      <c r="O35" s="40">
        <v>100</v>
      </c>
      <c r="P35" s="40">
        <f t="shared" si="5"/>
        <v>1000</v>
      </c>
      <c r="Q35" s="8"/>
      <c r="R35" s="17"/>
      <c r="S35" s="17"/>
      <c r="T35" s="17"/>
      <c r="U35" s="17"/>
      <c r="V35" s="17"/>
      <c r="W35" s="17"/>
    </row>
    <row r="36" spans="1:23" x14ac:dyDescent="0.2">
      <c r="A36" s="16"/>
      <c r="B36" s="17"/>
      <c r="C36" s="17"/>
      <c r="D36" s="16"/>
      <c r="E36" s="17"/>
      <c r="F36" s="17"/>
      <c r="G36" s="17"/>
      <c r="H36" s="17" t="s">
        <v>128</v>
      </c>
      <c r="I36" s="17">
        <v>0</v>
      </c>
      <c r="J36" s="17" t="s">
        <v>127</v>
      </c>
      <c r="K36" s="17">
        <f t="shared" si="3"/>
        <v>0</v>
      </c>
      <c r="L36" s="17">
        <v>10</v>
      </c>
      <c r="M36" s="17" t="str">
        <f t="shared" si="6"/>
        <v>Place Order</v>
      </c>
      <c r="N36" s="17" t="s">
        <v>77</v>
      </c>
      <c r="O36" s="40"/>
      <c r="P36" s="40">
        <f t="shared" si="5"/>
        <v>0</v>
      </c>
      <c r="Q36" s="8"/>
      <c r="R36" s="17"/>
      <c r="S36" s="17"/>
      <c r="T36" s="17"/>
      <c r="U36" s="17"/>
      <c r="V36" s="17"/>
      <c r="W36" s="17"/>
    </row>
    <row r="37" spans="1:23" x14ac:dyDescent="0.2">
      <c r="A37" s="16"/>
      <c r="B37" s="17"/>
      <c r="C37" s="17"/>
      <c r="D37" s="16"/>
      <c r="E37" s="17"/>
      <c r="F37" s="17"/>
      <c r="G37" s="17"/>
      <c r="H37" s="17" t="s">
        <v>129</v>
      </c>
      <c r="I37" s="17">
        <v>10</v>
      </c>
      <c r="J37" s="17" t="s">
        <v>388</v>
      </c>
      <c r="K37" s="17">
        <f t="shared" si="3"/>
        <v>10</v>
      </c>
      <c r="L37" s="17">
        <v>5</v>
      </c>
      <c r="M37" s="17" t="str">
        <f t="shared" si="6"/>
        <v/>
      </c>
      <c r="N37" s="17" t="s">
        <v>130</v>
      </c>
      <c r="O37" s="40">
        <v>150</v>
      </c>
      <c r="P37" s="40">
        <f t="shared" si="5"/>
        <v>1500</v>
      </c>
      <c r="Q37" s="8"/>
      <c r="R37" s="17"/>
      <c r="S37" s="17"/>
      <c r="T37" s="17"/>
      <c r="U37" s="17"/>
      <c r="V37" s="17"/>
      <c r="W37" s="17"/>
    </row>
    <row r="38" spans="1:23" x14ac:dyDescent="0.2">
      <c r="A38" s="16"/>
      <c r="B38" s="17"/>
      <c r="C38" s="17"/>
      <c r="D38" s="16"/>
      <c r="E38" s="17"/>
      <c r="F38" s="17"/>
      <c r="G38" s="17"/>
      <c r="H38" s="17" t="s">
        <v>395</v>
      </c>
      <c r="I38" s="17">
        <v>15</v>
      </c>
      <c r="J38" s="17" t="s">
        <v>132</v>
      </c>
      <c r="K38" s="17">
        <f t="shared" si="3"/>
        <v>15</v>
      </c>
      <c r="L38" s="17">
        <v>20</v>
      </c>
      <c r="M38" s="17" t="str">
        <f t="shared" si="6"/>
        <v>Place Order</v>
      </c>
      <c r="N38" s="17" t="s">
        <v>77</v>
      </c>
      <c r="O38" s="40">
        <v>130</v>
      </c>
      <c r="P38" s="40">
        <f t="shared" si="5"/>
        <v>1950</v>
      </c>
      <c r="Q38" s="8"/>
      <c r="R38" s="17"/>
      <c r="S38" s="17"/>
      <c r="T38" s="17"/>
      <c r="U38" s="17"/>
      <c r="V38" s="17"/>
      <c r="W38" s="17"/>
    </row>
    <row r="39" spans="1:23" x14ac:dyDescent="0.2">
      <c r="A39" s="16"/>
      <c r="B39" s="17"/>
      <c r="C39" s="17"/>
      <c r="D39" s="16"/>
      <c r="E39" s="17"/>
      <c r="F39" s="17"/>
      <c r="G39" s="17"/>
      <c r="H39" s="17" t="s">
        <v>137</v>
      </c>
      <c r="I39" s="17">
        <v>0</v>
      </c>
      <c r="J39" s="17" t="s">
        <v>136</v>
      </c>
      <c r="K39" s="17">
        <f t="shared" si="3"/>
        <v>0</v>
      </c>
      <c r="L39" s="17">
        <v>5</v>
      </c>
      <c r="M39" s="17" t="str">
        <f t="shared" si="6"/>
        <v>Place Order</v>
      </c>
      <c r="N39" s="17" t="s">
        <v>77</v>
      </c>
      <c r="O39" s="40"/>
      <c r="P39" s="40">
        <f t="shared" si="5"/>
        <v>0</v>
      </c>
      <c r="Q39" s="8"/>
      <c r="R39" s="17"/>
      <c r="S39" s="17"/>
      <c r="T39" s="17"/>
      <c r="U39" s="17"/>
      <c r="V39" s="17"/>
      <c r="W39" s="17"/>
    </row>
    <row r="40" spans="1:23" x14ac:dyDescent="0.2">
      <c r="A40" s="16"/>
      <c r="B40" s="17"/>
      <c r="C40" s="17"/>
      <c r="D40" s="16"/>
      <c r="E40" s="17"/>
      <c r="F40" s="17"/>
      <c r="G40" s="17"/>
      <c r="H40" s="17" t="s">
        <v>138</v>
      </c>
      <c r="I40" s="17">
        <v>0</v>
      </c>
      <c r="J40" s="17" t="s">
        <v>140</v>
      </c>
      <c r="K40" s="17">
        <f t="shared" si="3"/>
        <v>0</v>
      </c>
      <c r="L40" s="17">
        <v>2</v>
      </c>
      <c r="M40" s="17" t="str">
        <f t="shared" si="6"/>
        <v>Place Order</v>
      </c>
      <c r="N40" s="17" t="s">
        <v>139</v>
      </c>
      <c r="O40" s="40"/>
      <c r="P40" s="40">
        <f t="shared" si="5"/>
        <v>0</v>
      </c>
      <c r="Q40" s="8"/>
      <c r="R40" s="17"/>
      <c r="S40" s="17"/>
      <c r="T40" s="17"/>
      <c r="U40" s="17"/>
      <c r="V40" s="17"/>
      <c r="W40" s="17"/>
    </row>
    <row r="41" spans="1:23" x14ac:dyDescent="0.2">
      <c r="A41" s="16"/>
      <c r="B41" s="17"/>
      <c r="C41" s="17"/>
      <c r="D41" s="16"/>
      <c r="E41" s="17"/>
      <c r="F41" s="17"/>
      <c r="G41" s="17"/>
      <c r="H41" s="17" t="s">
        <v>141</v>
      </c>
      <c r="I41" s="17">
        <v>0</v>
      </c>
      <c r="J41" s="17" t="s">
        <v>142</v>
      </c>
      <c r="K41" s="17">
        <f t="shared" si="3"/>
        <v>0</v>
      </c>
      <c r="L41" s="17">
        <v>5</v>
      </c>
      <c r="M41" s="17" t="str">
        <f t="shared" si="6"/>
        <v>Place Order</v>
      </c>
      <c r="N41" s="17" t="s">
        <v>77</v>
      </c>
      <c r="O41" s="40"/>
      <c r="P41" s="40">
        <f t="shared" si="5"/>
        <v>0</v>
      </c>
      <c r="Q41" s="8"/>
      <c r="R41" s="17"/>
      <c r="S41" s="17"/>
      <c r="T41" s="17"/>
      <c r="U41" s="17"/>
      <c r="V41" s="17"/>
      <c r="W41" s="17"/>
    </row>
    <row r="42" spans="1:23" x14ac:dyDescent="0.2">
      <c r="A42" s="16"/>
      <c r="B42" s="17"/>
      <c r="C42" s="17"/>
      <c r="D42" s="16"/>
      <c r="E42" s="17"/>
      <c r="F42" s="17"/>
      <c r="G42" s="17"/>
      <c r="H42" s="17" t="s">
        <v>396</v>
      </c>
      <c r="I42" s="17">
        <v>10000</v>
      </c>
      <c r="J42" s="17" t="s">
        <v>78</v>
      </c>
      <c r="K42" s="17">
        <f t="shared" si="3"/>
        <v>9000</v>
      </c>
      <c r="L42" s="17">
        <v>1</v>
      </c>
      <c r="M42" s="17" t="str">
        <f t="shared" si="6"/>
        <v/>
      </c>
      <c r="N42" s="17" t="s">
        <v>77</v>
      </c>
      <c r="O42" s="40">
        <v>3.16</v>
      </c>
      <c r="P42" s="40">
        <f t="shared" si="5"/>
        <v>28440</v>
      </c>
      <c r="Q42" s="8"/>
      <c r="R42" s="17"/>
      <c r="S42" s="17"/>
      <c r="T42" s="17"/>
      <c r="U42" s="17"/>
      <c r="V42" s="17"/>
      <c r="W42" s="17"/>
    </row>
    <row r="43" spans="1:23" x14ac:dyDescent="0.2">
      <c r="A43" s="16"/>
      <c r="B43" s="17"/>
      <c r="C43" s="17"/>
      <c r="D43" s="16"/>
      <c r="E43" s="17"/>
      <c r="F43" s="17"/>
      <c r="G43" s="17"/>
      <c r="H43" s="17" t="s">
        <v>209</v>
      </c>
      <c r="I43" s="17">
        <v>500</v>
      </c>
      <c r="J43" s="17" t="s">
        <v>208</v>
      </c>
      <c r="K43" s="17">
        <f t="shared" si="3"/>
        <v>500</v>
      </c>
      <c r="L43" s="17">
        <v>1</v>
      </c>
      <c r="M43" s="17" t="str">
        <f t="shared" si="6"/>
        <v/>
      </c>
      <c r="N43" s="17" t="s">
        <v>77</v>
      </c>
      <c r="O43" s="40">
        <v>3.4</v>
      </c>
      <c r="P43" s="40">
        <f t="shared" si="5"/>
        <v>1700</v>
      </c>
      <c r="Q43" s="8"/>
      <c r="R43" s="17"/>
      <c r="S43" s="17"/>
      <c r="T43" s="17"/>
      <c r="U43" s="17"/>
      <c r="V43" s="17"/>
      <c r="W43" s="17"/>
    </row>
    <row r="44" spans="1:23" x14ac:dyDescent="0.2">
      <c r="A44" s="16"/>
      <c r="B44" s="17"/>
      <c r="C44" s="17"/>
      <c r="D44" s="16"/>
      <c r="E44" s="17"/>
      <c r="F44" s="17"/>
      <c r="G44" s="17"/>
      <c r="H44" s="17" t="s">
        <v>143</v>
      </c>
      <c r="I44" s="17">
        <v>0</v>
      </c>
      <c r="J44" s="17" t="s">
        <v>144</v>
      </c>
      <c r="K44" s="17">
        <f t="shared" si="3"/>
        <v>0</v>
      </c>
      <c r="L44" s="17">
        <v>10</v>
      </c>
      <c r="M44" s="17" t="str">
        <f t="shared" si="6"/>
        <v>Place Order</v>
      </c>
      <c r="N44" s="17" t="s">
        <v>77</v>
      </c>
      <c r="O44" s="40"/>
      <c r="P44" s="40">
        <f t="shared" si="5"/>
        <v>0</v>
      </c>
      <c r="Q44" s="8"/>
      <c r="R44" s="17"/>
      <c r="S44" s="17"/>
      <c r="T44" s="17"/>
      <c r="U44" s="17"/>
      <c r="V44" s="17"/>
      <c r="W44" s="17"/>
    </row>
    <row r="45" spans="1:23" x14ac:dyDescent="0.2">
      <c r="A45" s="16"/>
      <c r="B45" s="17"/>
      <c r="C45" s="17"/>
      <c r="D45" s="16"/>
      <c r="E45" s="17"/>
      <c r="F45" s="17"/>
      <c r="G45" s="17"/>
      <c r="H45" s="17" t="s">
        <v>145</v>
      </c>
      <c r="I45" s="17">
        <v>7</v>
      </c>
      <c r="J45" s="17" t="s">
        <v>146</v>
      </c>
      <c r="K45" s="17">
        <f t="shared" si="3"/>
        <v>7</v>
      </c>
      <c r="L45" s="17">
        <v>10</v>
      </c>
      <c r="M45" s="17" t="str">
        <f t="shared" si="6"/>
        <v>Place Order</v>
      </c>
      <c r="N45" s="17" t="s">
        <v>77</v>
      </c>
      <c r="O45" s="40">
        <v>185</v>
      </c>
      <c r="P45" s="40">
        <f t="shared" si="5"/>
        <v>1295</v>
      </c>
      <c r="Q45" s="8"/>
      <c r="R45" s="17"/>
      <c r="S45" s="17"/>
      <c r="T45" s="17"/>
      <c r="U45" s="17"/>
      <c r="V45" s="17"/>
      <c r="W45" s="17"/>
    </row>
    <row r="46" spans="1:23" x14ac:dyDescent="0.2">
      <c r="A46" s="16"/>
      <c r="B46" s="17"/>
      <c r="C46" s="17"/>
      <c r="D46" s="16"/>
      <c r="E46" s="17"/>
      <c r="F46" s="17"/>
      <c r="G46" s="17"/>
      <c r="H46" s="17" t="s">
        <v>211</v>
      </c>
      <c r="I46" s="17">
        <v>29</v>
      </c>
      <c r="J46" s="17" t="s">
        <v>210</v>
      </c>
      <c r="K46" s="17">
        <f t="shared" si="3"/>
        <v>27</v>
      </c>
      <c r="L46" s="17">
        <v>15</v>
      </c>
      <c r="M46" s="17" t="str">
        <f>IF((K46+V51)&lt;L46,"Place Order","")</f>
        <v/>
      </c>
      <c r="N46" s="17" t="s">
        <v>77</v>
      </c>
      <c r="O46" s="40">
        <v>16</v>
      </c>
      <c r="P46" s="40">
        <f t="shared" si="5"/>
        <v>432</v>
      </c>
      <c r="Q46" s="8"/>
      <c r="R46" s="17"/>
      <c r="S46" s="17"/>
      <c r="T46" s="17"/>
      <c r="U46" s="17"/>
      <c r="V46" s="17"/>
      <c r="W46" s="17"/>
    </row>
    <row r="47" spans="1:23" x14ac:dyDescent="0.2">
      <c r="A47" s="16"/>
      <c r="B47" s="17"/>
      <c r="C47" s="17"/>
      <c r="D47" s="16"/>
      <c r="E47" s="17"/>
      <c r="F47" s="17"/>
      <c r="G47" s="17"/>
      <c r="H47" s="17" t="s">
        <v>148</v>
      </c>
      <c r="I47" s="17">
        <v>130</v>
      </c>
      <c r="J47" s="17" t="s">
        <v>147</v>
      </c>
      <c r="K47" s="17">
        <f t="shared" si="3"/>
        <v>130</v>
      </c>
      <c r="L47" s="17">
        <v>50</v>
      </c>
      <c r="M47" s="17" t="str">
        <f>IF((K47+W46)&lt;L47,"Place Order","")</f>
        <v/>
      </c>
      <c r="N47" s="17" t="s">
        <v>77</v>
      </c>
      <c r="O47" s="40">
        <v>11.5</v>
      </c>
      <c r="P47" s="40">
        <f t="shared" si="5"/>
        <v>1495</v>
      </c>
      <c r="Q47" s="8"/>
      <c r="R47" s="17"/>
      <c r="S47" s="17"/>
      <c r="T47" s="17"/>
      <c r="U47" s="17"/>
      <c r="V47" s="17"/>
      <c r="W47" s="17"/>
    </row>
    <row r="48" spans="1:23" x14ac:dyDescent="0.2">
      <c r="A48" s="51"/>
      <c r="B48" s="52"/>
      <c r="C48" s="52"/>
      <c r="D48" s="51"/>
      <c r="E48" s="52"/>
      <c r="F48" s="52"/>
      <c r="G48" s="52"/>
      <c r="H48" s="17" t="s">
        <v>149</v>
      </c>
      <c r="I48" s="17">
        <v>0</v>
      </c>
      <c r="J48" s="17" t="s">
        <v>150</v>
      </c>
      <c r="K48" s="17">
        <f t="shared" si="3"/>
        <v>0</v>
      </c>
      <c r="L48" s="17">
        <v>5</v>
      </c>
      <c r="M48" s="17" t="str">
        <f>IF((K48+W47)&lt;L48,"Place Order","")</f>
        <v>Place Order</v>
      </c>
      <c r="N48" s="17" t="s">
        <v>77</v>
      </c>
      <c r="O48" s="40"/>
      <c r="P48" s="40">
        <f t="shared" si="5"/>
        <v>0</v>
      </c>
      <c r="Q48" s="53"/>
      <c r="R48" s="52"/>
      <c r="S48" s="52"/>
      <c r="T48" s="52"/>
      <c r="U48" s="52"/>
      <c r="V48" s="52"/>
      <c r="W48" s="2"/>
    </row>
    <row r="49" spans="1:23" x14ac:dyDescent="0.2">
      <c r="A49" s="17"/>
      <c r="B49" s="17"/>
      <c r="C49" s="17"/>
      <c r="D49" s="17"/>
      <c r="E49" s="17"/>
      <c r="F49" s="17"/>
      <c r="G49" s="17"/>
      <c r="H49" s="17" t="s">
        <v>151</v>
      </c>
      <c r="I49" s="17">
        <v>0</v>
      </c>
      <c r="J49" s="17" t="s">
        <v>152</v>
      </c>
      <c r="K49" s="17">
        <f t="shared" si="3"/>
        <v>0</v>
      </c>
      <c r="L49" s="17">
        <v>5</v>
      </c>
      <c r="M49" s="17" t="str">
        <f>IF((K49+W48)&lt;L49,"Place Order","")</f>
        <v>Place Order</v>
      </c>
      <c r="N49" s="17" t="s">
        <v>120</v>
      </c>
      <c r="O49" s="40"/>
      <c r="P49" s="40">
        <f t="shared" si="5"/>
        <v>0</v>
      </c>
      <c r="Q49" s="17"/>
      <c r="R49" s="17"/>
      <c r="S49" s="17"/>
      <c r="T49" s="17"/>
      <c r="U49" s="17"/>
      <c r="V49" s="17"/>
      <c r="W49" s="2"/>
    </row>
    <row r="50" spans="1:23" x14ac:dyDescent="0.2">
      <c r="A50" s="17"/>
      <c r="B50" s="17"/>
      <c r="C50" s="17"/>
      <c r="D50" s="17"/>
      <c r="E50" s="17"/>
      <c r="F50" s="17"/>
      <c r="G50" s="17"/>
      <c r="H50" s="17" t="s">
        <v>154</v>
      </c>
      <c r="I50" s="52">
        <v>4</v>
      </c>
      <c r="J50" s="17" t="s">
        <v>153</v>
      </c>
      <c r="K50" s="52">
        <f t="shared" si="3"/>
        <v>4</v>
      </c>
      <c r="L50" s="52">
        <v>10</v>
      </c>
      <c r="M50" s="52" t="str">
        <f>IF((K50+W49)&lt;L50,"Place Order","")</f>
        <v>Place Order</v>
      </c>
      <c r="N50" s="52" t="s">
        <v>77</v>
      </c>
      <c r="O50" s="60"/>
      <c r="P50" s="40">
        <f t="shared" si="5"/>
        <v>0</v>
      </c>
      <c r="Q50" s="17"/>
      <c r="R50" s="17"/>
      <c r="S50" s="17"/>
      <c r="T50" s="17"/>
      <c r="U50" s="17"/>
      <c r="V50" s="17"/>
      <c r="W50" s="2"/>
    </row>
    <row r="51" spans="1:23" x14ac:dyDescent="0.2">
      <c r="A51" s="8"/>
      <c r="B51" s="8"/>
      <c r="C51" s="8"/>
      <c r="D51" s="8"/>
      <c r="E51" s="8"/>
      <c r="F51" s="8"/>
      <c r="G51" s="8"/>
      <c r="H51" s="17" t="s">
        <v>155</v>
      </c>
      <c r="I51" s="17">
        <v>200</v>
      </c>
      <c r="J51" s="17" t="s">
        <v>156</v>
      </c>
      <c r="K51" s="17">
        <f t="shared" si="3"/>
        <v>200</v>
      </c>
      <c r="L51" s="17">
        <v>100</v>
      </c>
      <c r="M51" s="52" t="str">
        <f t="shared" ref="M51:M57" si="7">IF((K51+W50)&lt;L51,"Place Order","")</f>
        <v/>
      </c>
      <c r="N51" s="17" t="s">
        <v>77</v>
      </c>
      <c r="O51" s="60"/>
      <c r="P51" s="40">
        <f t="shared" si="5"/>
        <v>0</v>
      </c>
      <c r="Q51" s="8"/>
      <c r="R51" s="8"/>
      <c r="S51" s="8"/>
      <c r="T51" s="8"/>
      <c r="U51" s="8"/>
      <c r="V51" s="8"/>
    </row>
    <row r="52" spans="1:23" x14ac:dyDescent="0.2">
      <c r="A52" s="8"/>
      <c r="B52" s="8"/>
      <c r="C52" s="8"/>
      <c r="D52" s="8"/>
      <c r="E52" s="8"/>
      <c r="F52" s="8"/>
      <c r="G52" s="8"/>
      <c r="H52" s="17" t="s">
        <v>614</v>
      </c>
      <c r="I52" s="17">
        <v>5800</v>
      </c>
      <c r="J52" s="17" t="s">
        <v>79</v>
      </c>
      <c r="K52" s="17">
        <f t="shared" si="3"/>
        <v>5800</v>
      </c>
      <c r="L52" s="17">
        <v>10</v>
      </c>
      <c r="M52" s="52" t="str">
        <f t="shared" si="7"/>
        <v/>
      </c>
      <c r="N52" s="17" t="s">
        <v>77</v>
      </c>
      <c r="O52" s="40">
        <v>4.4000000000000004</v>
      </c>
      <c r="P52" s="40">
        <f t="shared" si="5"/>
        <v>25520.000000000004</v>
      </c>
      <c r="Q52" s="8"/>
      <c r="R52" s="8"/>
      <c r="S52" s="8"/>
      <c r="T52" s="8"/>
      <c r="U52" s="8"/>
      <c r="V52" s="8"/>
    </row>
    <row r="53" spans="1:23" x14ac:dyDescent="0.2">
      <c r="A53" s="8"/>
      <c r="B53" s="8"/>
      <c r="C53" s="8"/>
      <c r="D53" s="8"/>
      <c r="E53" s="8"/>
      <c r="F53" s="8"/>
      <c r="G53" s="8"/>
      <c r="H53" s="17" t="s">
        <v>212</v>
      </c>
      <c r="I53" s="17">
        <v>19</v>
      </c>
      <c r="J53" s="17" t="s">
        <v>213</v>
      </c>
      <c r="K53" s="17">
        <f t="shared" si="3"/>
        <v>19</v>
      </c>
      <c r="L53" s="17">
        <v>10</v>
      </c>
      <c r="M53" s="52" t="str">
        <f t="shared" si="7"/>
        <v/>
      </c>
      <c r="N53" s="17" t="s">
        <v>77</v>
      </c>
      <c r="O53" s="40">
        <v>55</v>
      </c>
      <c r="P53" s="40">
        <f t="shared" si="5"/>
        <v>1045</v>
      </c>
      <c r="Q53" s="8"/>
      <c r="R53" s="8"/>
      <c r="S53" s="8"/>
      <c r="T53" s="8"/>
      <c r="U53" s="8"/>
      <c r="V53" s="8"/>
    </row>
    <row r="54" spans="1:23" x14ac:dyDescent="0.2">
      <c r="A54" s="8"/>
      <c r="B54" s="8"/>
      <c r="C54" s="8"/>
      <c r="D54" s="8"/>
      <c r="E54" s="8"/>
      <c r="F54" s="8"/>
      <c r="G54" s="8"/>
      <c r="H54" s="17" t="s">
        <v>397</v>
      </c>
      <c r="I54" s="17">
        <v>20</v>
      </c>
      <c r="J54" s="17" t="s">
        <v>389</v>
      </c>
      <c r="K54" s="17">
        <f t="shared" si="3"/>
        <v>20</v>
      </c>
      <c r="L54" s="17">
        <v>10</v>
      </c>
      <c r="M54" s="52" t="str">
        <f t="shared" si="7"/>
        <v/>
      </c>
      <c r="N54" s="17" t="s">
        <v>77</v>
      </c>
      <c r="O54" s="40">
        <v>450</v>
      </c>
      <c r="P54" s="40">
        <f t="shared" si="5"/>
        <v>9000</v>
      </c>
      <c r="Q54" s="8"/>
      <c r="R54" s="8"/>
      <c r="S54" s="8"/>
      <c r="T54" s="8"/>
      <c r="U54" s="8"/>
      <c r="V54" s="8"/>
    </row>
    <row r="55" spans="1:23" x14ac:dyDescent="0.2">
      <c r="A55" s="8"/>
      <c r="B55" s="8"/>
      <c r="C55" s="8"/>
      <c r="D55" s="8"/>
      <c r="E55" s="8"/>
      <c r="F55" s="8"/>
      <c r="G55" s="8"/>
      <c r="H55" s="17" t="s">
        <v>398</v>
      </c>
      <c r="I55" s="17">
        <v>0</v>
      </c>
      <c r="J55" s="17" t="s">
        <v>390</v>
      </c>
      <c r="K55" s="17">
        <f t="shared" si="3"/>
        <v>0</v>
      </c>
      <c r="L55" s="17">
        <v>10</v>
      </c>
      <c r="M55" s="52" t="str">
        <f t="shared" si="7"/>
        <v>Place Order</v>
      </c>
      <c r="N55" s="17" t="s">
        <v>77</v>
      </c>
      <c r="O55" s="40"/>
      <c r="P55" s="40">
        <f t="shared" si="5"/>
        <v>0</v>
      </c>
      <c r="Q55" s="8"/>
      <c r="R55" s="8"/>
      <c r="S55" s="8"/>
      <c r="T55" s="8"/>
      <c r="U55" s="8"/>
      <c r="V55" s="8"/>
    </row>
    <row r="56" spans="1:23" x14ac:dyDescent="0.2">
      <c r="A56" s="8"/>
      <c r="B56" s="8"/>
      <c r="C56" s="8"/>
      <c r="D56" s="8"/>
      <c r="E56" s="8"/>
      <c r="F56" s="8"/>
      <c r="G56" s="8"/>
      <c r="H56" s="17" t="s">
        <v>622</v>
      </c>
      <c r="I56" s="17">
        <v>10</v>
      </c>
      <c r="J56" s="17" t="s">
        <v>621</v>
      </c>
      <c r="K56" s="17">
        <f t="shared" si="3"/>
        <v>10</v>
      </c>
      <c r="L56" s="17">
        <v>10</v>
      </c>
      <c r="M56" s="52" t="str">
        <f t="shared" si="7"/>
        <v/>
      </c>
      <c r="N56" s="17" t="s">
        <v>77</v>
      </c>
      <c r="O56" s="40">
        <v>160</v>
      </c>
      <c r="P56" s="40">
        <f t="shared" ref="P56" si="8">K56*O56</f>
        <v>1600</v>
      </c>
      <c r="Q56" s="8"/>
      <c r="R56" s="8"/>
      <c r="S56" s="8"/>
      <c r="T56" s="8"/>
      <c r="U56" s="8"/>
      <c r="V56" s="8"/>
    </row>
    <row r="57" spans="1:23" x14ac:dyDescent="0.2">
      <c r="A57" s="8"/>
      <c r="B57" s="8"/>
      <c r="C57" s="8"/>
      <c r="D57" s="8"/>
      <c r="E57" s="8"/>
      <c r="F57" s="8"/>
      <c r="G57" s="8"/>
      <c r="H57" s="17" t="s">
        <v>633</v>
      </c>
      <c r="I57" s="17">
        <v>500</v>
      </c>
      <c r="J57" s="40" t="s">
        <v>632</v>
      </c>
      <c r="K57" s="17">
        <v>500</v>
      </c>
      <c r="L57" s="17">
        <v>100</v>
      </c>
      <c r="M57" s="40" t="str">
        <f t="shared" si="7"/>
        <v/>
      </c>
      <c r="N57" s="17" t="s">
        <v>77</v>
      </c>
      <c r="O57" s="40">
        <v>2.2999999999999998</v>
      </c>
      <c r="P57" s="40">
        <f t="shared" ref="P57" si="9">K57*O57</f>
        <v>1150</v>
      </c>
      <c r="Q57" s="8"/>
      <c r="R57" s="8"/>
      <c r="S57" s="8"/>
      <c r="T57" s="8"/>
      <c r="U57" s="8"/>
      <c r="V57" s="8"/>
    </row>
    <row r="58" spans="1:23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47">
        <f>SUM(P5:P57)</f>
        <v>102230</v>
      </c>
      <c r="Q58" s="8"/>
      <c r="R58" s="8"/>
      <c r="S58" s="8"/>
      <c r="T58" s="8"/>
      <c r="U58" s="8"/>
      <c r="V58" s="8"/>
    </row>
    <row r="59" spans="1:2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3" x14ac:dyDescent="0.2">
      <c r="A60" s="8"/>
      <c r="B60" s="8"/>
      <c r="C60" s="8"/>
      <c r="D60" s="8"/>
      <c r="E60" s="8"/>
      <c r="F60" s="8"/>
      <c r="G60" s="8"/>
      <c r="J60" s="8" t="str" cm="1">
        <f t="array" ref="J60:K71">_xlfn.GROUPBY(E5:E18,F5:F18,_xleta.SUM)</f>
        <v>A4 80 GSM</v>
      </c>
      <c r="K60" s="8">
        <v>1000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3" x14ac:dyDescent="0.2">
      <c r="A61" s="8"/>
      <c r="B61" s="8"/>
      <c r="C61" s="8"/>
      <c r="D61" s="8"/>
      <c r="E61" s="8"/>
      <c r="F61" s="8"/>
      <c r="G61" s="8"/>
      <c r="J61" s="8" t="str">
        <v>CR-IV Book</v>
      </c>
      <c r="K61" s="8">
        <v>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3" x14ac:dyDescent="0.2">
      <c r="A62" s="8"/>
      <c r="B62" s="8"/>
      <c r="C62" s="8"/>
      <c r="D62" s="8"/>
      <c r="E62" s="8"/>
      <c r="F62" s="8"/>
      <c r="G62" s="8"/>
      <c r="J62" s="8" t="str">
        <v>File cover</v>
      </c>
      <c r="K62" s="8">
        <v>45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3" x14ac:dyDescent="0.2">
      <c r="A63" s="8"/>
      <c r="B63" s="8"/>
      <c r="C63" s="8"/>
      <c r="D63" s="8"/>
      <c r="E63" s="8"/>
      <c r="F63" s="8"/>
      <c r="G63" s="8"/>
      <c r="J63" s="8" t="str">
        <v>File tag</v>
      </c>
      <c r="K63" s="8">
        <v>20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3" x14ac:dyDescent="0.2">
      <c r="A64" s="8"/>
      <c r="B64" s="8"/>
      <c r="C64" s="8"/>
      <c r="D64" s="8"/>
      <c r="E64" s="8"/>
      <c r="F64" s="8"/>
      <c r="G64" s="8"/>
      <c r="J64" s="8" t="str">
        <v>Pen (Blue)</v>
      </c>
      <c r="K64" s="8">
        <v>2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x14ac:dyDescent="0.2">
      <c r="A65" s="8"/>
      <c r="B65" s="8"/>
      <c r="C65" s="8"/>
      <c r="D65" s="8"/>
      <c r="E65" s="8"/>
      <c r="F65" s="8"/>
      <c r="G65" s="8"/>
      <c r="J65" s="8" t="str">
        <v>Pen (Red)</v>
      </c>
      <c r="K65" s="8">
        <v>2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x14ac:dyDescent="0.2">
      <c r="A66" s="8"/>
      <c r="B66" s="8"/>
      <c r="C66" s="8"/>
      <c r="D66" s="8"/>
      <c r="E66" s="8"/>
      <c r="F66" s="8"/>
      <c r="G66" s="8"/>
      <c r="J66" s="8" t="str">
        <v>Permanent marker</v>
      </c>
      <c r="K66" s="8">
        <v>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2">
      <c r="A67" s="8"/>
      <c r="B67" s="8"/>
      <c r="C67" s="8"/>
      <c r="D67" s="8"/>
      <c r="E67" s="8"/>
      <c r="F67" s="8"/>
      <c r="G67" s="8"/>
      <c r="J67" s="8" t="str">
        <v>Stapler pin (No-24)</v>
      </c>
      <c r="K67" s="8">
        <v>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x14ac:dyDescent="0.2">
      <c r="A68" s="8"/>
      <c r="B68" s="8"/>
      <c r="C68" s="8"/>
      <c r="D68" s="8"/>
      <c r="E68" s="8"/>
      <c r="F68" s="8"/>
      <c r="G68" s="8"/>
      <c r="J68" s="8" t="str">
        <v>Triangle clip</v>
      </c>
      <c r="K68" s="8">
        <v>1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x14ac:dyDescent="0.2">
      <c r="A69" s="8"/>
      <c r="B69" s="8"/>
      <c r="C69" s="8"/>
      <c r="D69" s="8"/>
      <c r="E69" s="8"/>
      <c r="F69" s="8"/>
      <c r="G69" s="8"/>
      <c r="J69" s="8" t="str">
        <v>White board marker</v>
      </c>
      <c r="K69" s="8">
        <v>1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x14ac:dyDescent="0.2">
      <c r="A70" s="8"/>
      <c r="B70" s="8"/>
      <c r="C70" s="8"/>
      <c r="D70" s="8"/>
      <c r="E70" s="8"/>
      <c r="F70" s="8"/>
      <c r="G70" s="8"/>
      <c r="J70" s="8">
        <v>0</v>
      </c>
      <c r="K70" s="8">
        <v>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x14ac:dyDescent="0.2">
      <c r="A71" s="8"/>
      <c r="B71" s="8"/>
      <c r="C71" s="8"/>
      <c r="D71" s="8"/>
      <c r="E71" s="8"/>
      <c r="F71" s="8"/>
      <c r="G71" s="8"/>
      <c r="J71" s="8" t="str">
        <v>Total</v>
      </c>
      <c r="K71" s="8">
        <v>1075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x14ac:dyDescent="0.2">
      <c r="A72" s="8"/>
      <c r="B72" s="8"/>
      <c r="C72" s="8"/>
      <c r="D72" s="8"/>
      <c r="E72" s="8"/>
      <c r="F72" s="8"/>
      <c r="G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x14ac:dyDescent="0.2">
      <c r="A73" s="8"/>
      <c r="B73" s="8"/>
      <c r="C73" s="8"/>
      <c r="D73" s="8"/>
      <c r="E73" s="8"/>
      <c r="F73" s="8"/>
      <c r="G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x14ac:dyDescent="0.2">
      <c r="A74" s="8"/>
      <c r="B74" s="8"/>
      <c r="C74" s="8"/>
      <c r="D74" s="8"/>
      <c r="E74" s="8"/>
      <c r="F74" s="8"/>
      <c r="G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x14ac:dyDescent="0.2">
      <c r="A75" s="8"/>
      <c r="B75" s="8"/>
      <c r="C75" s="8"/>
      <c r="D75" s="8"/>
      <c r="E75" s="8"/>
      <c r="F75" s="8"/>
      <c r="G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</sheetData>
  <autoFilter ref="K1:K108" xr:uid="{F1393BD6-E6F9-BE42-A7CA-2194252BD98B}"/>
  <mergeCells count="11">
    <mergeCell ref="O3:O4"/>
    <mergeCell ref="P3:P4"/>
    <mergeCell ref="N3:N4"/>
    <mergeCell ref="A1:M1"/>
    <mergeCell ref="A3:C3"/>
    <mergeCell ref="D3:F3"/>
    <mergeCell ref="H3:H4"/>
    <mergeCell ref="I3:I4"/>
    <mergeCell ref="J3:K3"/>
    <mergeCell ref="L3:L4"/>
    <mergeCell ref="M3:M4"/>
  </mergeCells>
  <phoneticPr fontId="3" type="noConversion"/>
  <conditionalFormatting sqref="M5:P57 J57">
    <cfRule type="containsText" dxfId="28" priority="1" operator="containsText" text="Place Order">
      <formula>NOT(ISERROR(SEARCH("Place Order",J5)))</formula>
    </cfRule>
  </conditionalFormatting>
  <dataValidations count="3">
    <dataValidation type="list" allowBlank="1" showInputMessage="1" showErrorMessage="1" sqref="E1:E1048576" xr:uid="{2EF5CDB5-4D63-B44B-9454-EDCABEDE99DB}">
      <formula1>$J$5:$J$53</formula1>
    </dataValidation>
    <dataValidation type="list" allowBlank="1" showInputMessage="1" showErrorMessage="1" sqref="B5:B18" xr:uid="{F355EC0A-3EB2-D34A-9147-3734CFC72745}">
      <formula1>$J$5:$J$55</formula1>
    </dataValidation>
    <dataValidation type="list" allowBlank="1" showInputMessage="1" showErrorMessage="1" sqref="B19:B50" xr:uid="{27D53702-D4EC-7147-98F4-E728B4281C9D}">
      <formula1>$J$5:$J$56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1"/>
  <sheetViews>
    <sheetView topLeftCell="B1" zoomScale="160" zoomScaleNormal="160" workbookViewId="0">
      <selection activeCell="L7" sqref="L7"/>
    </sheetView>
  </sheetViews>
  <sheetFormatPr baseColWidth="10" defaultColWidth="9.1640625" defaultRowHeight="14" x14ac:dyDescent="0.2"/>
  <cols>
    <col min="1" max="1" width="12.5" style="8" customWidth="1"/>
    <col min="2" max="2" width="12.83203125" style="8" bestFit="1" customWidth="1"/>
    <col min="3" max="3" width="9.5" style="8" bestFit="1" customWidth="1"/>
    <col min="4" max="4" width="10.33203125" style="8" bestFit="1" customWidth="1"/>
    <col min="5" max="5" width="20" style="8" bestFit="1" customWidth="1"/>
    <col min="6" max="6" width="9.5" style="8" bestFit="1" customWidth="1"/>
    <col min="7" max="7" width="3.6640625" style="21" customWidth="1"/>
    <col min="8" max="8" width="14.33203125" style="21" customWidth="1"/>
    <col min="9" max="9" width="9.6640625" style="8" bestFit="1" customWidth="1"/>
    <col min="10" max="10" width="20.1640625" style="8" bestFit="1" customWidth="1"/>
    <col min="11" max="11" width="11.5" style="8" bestFit="1" customWidth="1"/>
    <col min="12" max="12" width="10.6640625" style="8" customWidth="1"/>
    <col min="13" max="13" width="13.1640625" style="8" customWidth="1"/>
    <col min="14" max="14" width="7.5" style="8" customWidth="1"/>
    <col min="15" max="16" width="12.6640625" style="8" customWidth="1"/>
    <col min="17" max="17" width="10" style="8" bestFit="1" customWidth="1"/>
    <col min="18" max="18" width="9.1640625" style="8"/>
    <col min="19" max="19" width="9.83203125" style="8" bestFit="1" customWidth="1"/>
    <col min="20" max="21" width="9.1640625" style="8"/>
    <col min="22" max="22" width="12.33203125" style="8" bestFit="1" customWidth="1"/>
    <col min="23" max="16384" width="9.1640625" style="8"/>
  </cols>
  <sheetData>
    <row r="1" spans="1:22" x14ac:dyDescent="0.2">
      <c r="A1" s="90" t="s">
        <v>16</v>
      </c>
      <c r="B1" s="91"/>
      <c r="C1" s="91"/>
      <c r="D1" s="91"/>
      <c r="E1" s="91"/>
      <c r="F1" s="91"/>
      <c r="G1" s="43"/>
      <c r="H1" s="43"/>
      <c r="I1" s="43"/>
      <c r="J1" s="43"/>
      <c r="K1" s="43"/>
      <c r="L1" s="43"/>
      <c r="M1" s="43"/>
      <c r="N1" s="43"/>
      <c r="O1" s="42"/>
      <c r="P1" s="43"/>
      <c r="Q1" s="20" t="s">
        <v>11</v>
      </c>
      <c r="R1" s="20"/>
      <c r="S1" s="20"/>
      <c r="T1" s="20"/>
      <c r="U1" s="20"/>
      <c r="V1" s="20"/>
    </row>
    <row r="2" spans="1:22" x14ac:dyDescent="0.2">
      <c r="A2" s="10" t="s">
        <v>648</v>
      </c>
      <c r="C2" s="8" t="s">
        <v>0</v>
      </c>
      <c r="D2" s="19">
        <f ca="1">TODAY()</f>
        <v>45828</v>
      </c>
      <c r="G2" s="8"/>
      <c r="H2" s="8"/>
      <c r="Q2" s="8" t="s">
        <v>5</v>
      </c>
    </row>
    <row r="3" spans="1:22" x14ac:dyDescent="0.2">
      <c r="A3" s="92" t="s">
        <v>8</v>
      </c>
      <c r="B3" s="92"/>
      <c r="C3" s="92"/>
      <c r="D3" s="93" t="s">
        <v>9</v>
      </c>
      <c r="E3" s="93"/>
      <c r="F3" s="93"/>
      <c r="G3" s="24"/>
      <c r="H3" s="95" t="s">
        <v>21</v>
      </c>
      <c r="I3" s="89" t="s">
        <v>69</v>
      </c>
      <c r="J3" s="94" t="s">
        <v>10</v>
      </c>
      <c r="K3" s="94"/>
      <c r="L3" s="89" t="s">
        <v>70</v>
      </c>
      <c r="M3" s="88" t="s">
        <v>3</v>
      </c>
      <c r="N3" s="77" t="s">
        <v>32</v>
      </c>
      <c r="O3" s="77" t="s">
        <v>253</v>
      </c>
      <c r="P3" s="77" t="s">
        <v>254</v>
      </c>
      <c r="Q3" s="10" t="s">
        <v>4</v>
      </c>
    </row>
    <row r="4" spans="1:22" x14ac:dyDescent="0.2">
      <c r="A4" s="22" t="s">
        <v>0</v>
      </c>
      <c r="B4" s="22" t="s">
        <v>2</v>
      </c>
      <c r="C4" s="22" t="s">
        <v>1</v>
      </c>
      <c r="D4" s="23" t="s">
        <v>0</v>
      </c>
      <c r="E4" s="23" t="s">
        <v>2</v>
      </c>
      <c r="F4" s="23" t="s">
        <v>1</v>
      </c>
      <c r="G4" s="24"/>
      <c r="H4" s="96"/>
      <c r="I4" s="89"/>
      <c r="J4" s="25" t="s">
        <v>2</v>
      </c>
      <c r="K4" s="25" t="s">
        <v>1</v>
      </c>
      <c r="L4" s="89"/>
      <c r="M4" s="88"/>
      <c r="N4" s="77"/>
      <c r="O4" s="77"/>
      <c r="P4" s="77"/>
      <c r="Q4" s="26">
        <v>44086</v>
      </c>
      <c r="R4" s="26"/>
      <c r="S4" s="26"/>
      <c r="T4" s="26"/>
      <c r="U4" s="26"/>
      <c r="V4" s="12" t="s">
        <v>6</v>
      </c>
    </row>
    <row r="5" spans="1:22" x14ac:dyDescent="0.2">
      <c r="A5" s="27">
        <v>45780</v>
      </c>
      <c r="B5" s="28" t="s">
        <v>18</v>
      </c>
      <c r="C5" s="28">
        <v>100</v>
      </c>
      <c r="D5" s="29">
        <v>45782</v>
      </c>
      <c r="E5" s="30" t="s">
        <v>18</v>
      </c>
      <c r="F5" s="30">
        <v>56</v>
      </c>
      <c r="H5" s="31" t="s">
        <v>164</v>
      </c>
      <c r="I5" s="17">
        <v>0</v>
      </c>
      <c r="J5" s="32" t="s">
        <v>18</v>
      </c>
      <c r="K5" s="32">
        <f t="shared" ref="K5:K18" si="0">I5+SUMIF($B$5:$B$49,J5,$C$5:$C$49)-SUMIF($E$5:$E$49,J5,$F$5:$F$49)</f>
        <v>10</v>
      </c>
      <c r="L5" s="17">
        <v>10</v>
      </c>
      <c r="M5" s="17" t="str">
        <f t="shared" ref="M5:M18" si="1">IF((K5+V5)&lt;L5,"Place Order","")</f>
        <v/>
      </c>
      <c r="N5" s="17" t="s">
        <v>68</v>
      </c>
      <c r="O5" s="17">
        <v>293</v>
      </c>
      <c r="P5" s="40">
        <f t="shared" ref="P5:P18" si="2">O5*K5</f>
        <v>2930</v>
      </c>
      <c r="Q5" s="17"/>
      <c r="R5" s="17"/>
      <c r="S5" s="17"/>
      <c r="T5" s="17"/>
      <c r="U5" s="17"/>
      <c r="V5" s="17">
        <f>SUMIF($Q$1:$U$1,"T",Q5:U5)</f>
        <v>0</v>
      </c>
    </row>
    <row r="6" spans="1:22" x14ac:dyDescent="0.2">
      <c r="A6" s="27">
        <v>45780</v>
      </c>
      <c r="B6" s="28" t="s">
        <v>159</v>
      </c>
      <c r="C6" s="28">
        <v>5000</v>
      </c>
      <c r="D6" s="29">
        <v>45782</v>
      </c>
      <c r="E6" s="30" t="s">
        <v>159</v>
      </c>
      <c r="F6" s="30">
        <v>2800</v>
      </c>
      <c r="H6" s="31" t="s">
        <v>165</v>
      </c>
      <c r="I6" s="17">
        <v>1508</v>
      </c>
      <c r="J6" s="32" t="s">
        <v>17</v>
      </c>
      <c r="K6" s="32">
        <f t="shared" si="0"/>
        <v>1288</v>
      </c>
      <c r="L6" s="17">
        <v>200</v>
      </c>
      <c r="M6" s="17" t="str">
        <f t="shared" si="1"/>
        <v/>
      </c>
      <c r="N6" s="17" t="s">
        <v>68</v>
      </c>
      <c r="O6" s="17">
        <v>286</v>
      </c>
      <c r="P6" s="40">
        <f t="shared" si="2"/>
        <v>368368</v>
      </c>
      <c r="Q6" s="17"/>
      <c r="R6" s="17"/>
      <c r="S6" s="17"/>
      <c r="T6" s="17"/>
      <c r="U6" s="17"/>
      <c r="V6" s="17">
        <f t="shared" ref="V6:V31" si="3">SUMIF($Q$1:$U$1,"T",Q6:U6)</f>
        <v>0</v>
      </c>
    </row>
    <row r="7" spans="1:22" x14ac:dyDescent="0.2">
      <c r="A7" s="27">
        <v>45730</v>
      </c>
      <c r="B7" s="28" t="s">
        <v>18</v>
      </c>
      <c r="C7" s="28">
        <v>50</v>
      </c>
      <c r="D7" s="29">
        <v>45782</v>
      </c>
      <c r="E7" s="30" t="s">
        <v>19</v>
      </c>
      <c r="F7" s="30">
        <v>7</v>
      </c>
      <c r="H7" s="31" t="s">
        <v>166</v>
      </c>
      <c r="I7" s="17">
        <v>7</v>
      </c>
      <c r="J7" s="32" t="s">
        <v>19</v>
      </c>
      <c r="K7" s="32">
        <f t="shared" si="0"/>
        <v>0</v>
      </c>
      <c r="L7" s="17">
        <v>20</v>
      </c>
      <c r="M7" s="17" t="str">
        <f t="shared" si="1"/>
        <v>Place Order</v>
      </c>
      <c r="N7" s="17" t="s">
        <v>68</v>
      </c>
      <c r="O7" s="17">
        <v>183</v>
      </c>
      <c r="P7" s="40">
        <f t="shared" si="2"/>
        <v>0</v>
      </c>
      <c r="Q7" s="17"/>
      <c r="R7" s="17"/>
      <c r="S7" s="17"/>
      <c r="T7" s="17"/>
      <c r="U7" s="17"/>
      <c r="V7" s="17">
        <f t="shared" si="3"/>
        <v>0</v>
      </c>
    </row>
    <row r="8" spans="1:22" x14ac:dyDescent="0.2">
      <c r="A8" s="27">
        <v>45730</v>
      </c>
      <c r="B8" s="28" t="s">
        <v>159</v>
      </c>
      <c r="C8" s="28">
        <v>1500</v>
      </c>
      <c r="D8" s="29">
        <v>45783</v>
      </c>
      <c r="E8" s="30" t="s">
        <v>18</v>
      </c>
      <c r="F8" s="30">
        <v>20</v>
      </c>
      <c r="H8" s="31" t="s">
        <v>167</v>
      </c>
      <c r="I8" s="17">
        <v>7</v>
      </c>
      <c r="J8" s="32" t="s">
        <v>20</v>
      </c>
      <c r="K8" s="32">
        <f t="shared" si="0"/>
        <v>7</v>
      </c>
      <c r="L8" s="17">
        <v>5</v>
      </c>
      <c r="M8" s="17" t="str">
        <f t="shared" si="1"/>
        <v/>
      </c>
      <c r="N8" s="17" t="s">
        <v>34</v>
      </c>
      <c r="O8" s="17">
        <v>3070</v>
      </c>
      <c r="P8" s="40">
        <f t="shared" si="2"/>
        <v>21490</v>
      </c>
      <c r="Q8" s="17"/>
      <c r="R8" s="17"/>
      <c r="S8" s="17"/>
      <c r="T8" s="17"/>
      <c r="U8" s="17"/>
      <c r="V8" s="17">
        <f t="shared" si="3"/>
        <v>0</v>
      </c>
    </row>
    <row r="9" spans="1:22" x14ac:dyDescent="0.2">
      <c r="A9" s="27"/>
      <c r="B9" s="28"/>
      <c r="C9" s="28"/>
      <c r="D9" s="29">
        <v>45783</v>
      </c>
      <c r="E9" s="30" t="s">
        <v>159</v>
      </c>
      <c r="F9" s="30">
        <v>1000</v>
      </c>
      <c r="H9" s="31" t="s">
        <v>168</v>
      </c>
      <c r="I9" s="17">
        <v>700</v>
      </c>
      <c r="J9" s="32" t="s">
        <v>159</v>
      </c>
      <c r="K9" s="32">
        <f t="shared" si="0"/>
        <v>200</v>
      </c>
      <c r="L9" s="17">
        <v>1000</v>
      </c>
      <c r="M9" s="17" t="str">
        <f t="shared" si="1"/>
        <v>Place Order</v>
      </c>
      <c r="N9" s="17" t="s">
        <v>37</v>
      </c>
      <c r="O9" s="17">
        <v>1.2</v>
      </c>
      <c r="P9" s="40">
        <f t="shared" si="2"/>
        <v>240</v>
      </c>
      <c r="Q9" s="17"/>
      <c r="R9" s="17"/>
      <c r="S9" s="17"/>
      <c r="T9" s="17"/>
      <c r="U9" s="17"/>
      <c r="V9" s="17">
        <f t="shared" si="3"/>
        <v>0</v>
      </c>
    </row>
    <row r="10" spans="1:22" x14ac:dyDescent="0.2">
      <c r="A10" s="27"/>
      <c r="B10" s="28"/>
      <c r="C10" s="28"/>
      <c r="D10" s="29">
        <v>45785</v>
      </c>
      <c r="E10" s="30" t="s">
        <v>18</v>
      </c>
      <c r="F10" s="30">
        <v>20</v>
      </c>
      <c r="H10" s="31" t="s">
        <v>171</v>
      </c>
      <c r="I10" s="17">
        <v>3.5</v>
      </c>
      <c r="J10" s="32" t="s">
        <v>169</v>
      </c>
      <c r="K10" s="32">
        <f t="shared" si="0"/>
        <v>3.5</v>
      </c>
      <c r="L10" s="17">
        <v>20</v>
      </c>
      <c r="M10" s="17" t="str">
        <f t="shared" si="1"/>
        <v>Place Order</v>
      </c>
      <c r="N10" s="17" t="s">
        <v>68</v>
      </c>
      <c r="O10" s="17">
        <v>2900</v>
      </c>
      <c r="P10" s="40">
        <f t="shared" si="2"/>
        <v>10150</v>
      </c>
      <c r="Q10" s="17"/>
      <c r="R10" s="17"/>
      <c r="S10" s="17"/>
      <c r="T10" s="17"/>
      <c r="U10" s="17"/>
      <c r="V10" s="17">
        <f t="shared" si="3"/>
        <v>0</v>
      </c>
    </row>
    <row r="11" spans="1:22" x14ac:dyDescent="0.2">
      <c r="A11" s="39"/>
      <c r="B11" s="28"/>
      <c r="C11" s="28"/>
      <c r="D11" s="29">
        <v>45785</v>
      </c>
      <c r="E11" s="30" t="s">
        <v>159</v>
      </c>
      <c r="F11" s="30">
        <v>1000</v>
      </c>
      <c r="H11" s="31" t="s">
        <v>172</v>
      </c>
      <c r="I11" s="17">
        <v>0</v>
      </c>
      <c r="J11" s="32" t="s">
        <v>170</v>
      </c>
      <c r="K11" s="32">
        <f t="shared" si="0"/>
        <v>0</v>
      </c>
      <c r="L11" s="17">
        <v>20</v>
      </c>
      <c r="M11" s="17" t="str">
        <f t="shared" si="1"/>
        <v>Place Order</v>
      </c>
      <c r="N11" s="17" t="s">
        <v>68</v>
      </c>
      <c r="O11" s="17">
        <v>1980</v>
      </c>
      <c r="P11" s="40">
        <f t="shared" si="2"/>
        <v>0</v>
      </c>
      <c r="Q11" s="17"/>
      <c r="R11" s="17"/>
      <c r="S11" s="17"/>
      <c r="T11" s="17"/>
      <c r="U11" s="17"/>
      <c r="V11" s="17">
        <f t="shared" si="3"/>
        <v>0</v>
      </c>
    </row>
    <row r="12" spans="1:22" x14ac:dyDescent="0.2">
      <c r="A12" s="39"/>
      <c r="B12" s="28"/>
      <c r="C12" s="28"/>
      <c r="D12" s="29">
        <v>45786</v>
      </c>
      <c r="E12" s="30" t="s">
        <v>18</v>
      </c>
      <c r="F12" s="30">
        <v>4</v>
      </c>
      <c r="H12" s="31" t="s">
        <v>173</v>
      </c>
      <c r="I12" s="17">
        <v>5</v>
      </c>
      <c r="J12" s="32" t="s">
        <v>178</v>
      </c>
      <c r="K12" s="32">
        <f t="shared" si="0"/>
        <v>5</v>
      </c>
      <c r="L12" s="17">
        <v>20</v>
      </c>
      <c r="M12" s="17" t="str">
        <f t="shared" si="1"/>
        <v>Place Order</v>
      </c>
      <c r="N12" s="17" t="s">
        <v>68</v>
      </c>
      <c r="O12" s="17">
        <v>1980</v>
      </c>
      <c r="P12" s="40">
        <f t="shared" si="2"/>
        <v>9900</v>
      </c>
      <c r="Q12" s="17"/>
      <c r="R12" s="17"/>
      <c r="S12" s="17"/>
      <c r="T12" s="17"/>
      <c r="U12" s="17"/>
      <c r="V12" s="17">
        <f t="shared" si="3"/>
        <v>0</v>
      </c>
    </row>
    <row r="13" spans="1:22" x14ac:dyDescent="0.2">
      <c r="A13" s="27"/>
      <c r="B13" s="28"/>
      <c r="C13" s="28"/>
      <c r="D13" s="29">
        <v>45786</v>
      </c>
      <c r="E13" s="30" t="s">
        <v>159</v>
      </c>
      <c r="F13" s="30">
        <v>200</v>
      </c>
      <c r="H13" s="31" t="s">
        <v>174</v>
      </c>
      <c r="I13" s="17">
        <v>0</v>
      </c>
      <c r="J13" s="32" t="s">
        <v>161</v>
      </c>
      <c r="K13" s="32">
        <f t="shared" si="0"/>
        <v>0</v>
      </c>
      <c r="L13" s="17">
        <v>5</v>
      </c>
      <c r="M13" s="17" t="str">
        <f t="shared" si="1"/>
        <v>Place Order</v>
      </c>
      <c r="N13" s="17" t="s">
        <v>68</v>
      </c>
      <c r="O13" s="17"/>
      <c r="P13" s="40">
        <f t="shared" si="2"/>
        <v>0</v>
      </c>
      <c r="Q13" s="17"/>
      <c r="R13" s="17"/>
      <c r="S13" s="17"/>
      <c r="T13" s="17"/>
      <c r="U13" s="17"/>
      <c r="V13" s="17">
        <f t="shared" si="3"/>
        <v>0</v>
      </c>
    </row>
    <row r="14" spans="1:22" x14ac:dyDescent="0.2">
      <c r="A14" s="27"/>
      <c r="B14" s="28"/>
      <c r="C14" s="28"/>
      <c r="D14" s="29">
        <v>45786</v>
      </c>
      <c r="E14" s="30" t="s">
        <v>17</v>
      </c>
      <c r="F14" s="30">
        <v>40</v>
      </c>
      <c r="H14" s="31" t="s">
        <v>175</v>
      </c>
      <c r="I14" s="17">
        <v>0</v>
      </c>
      <c r="J14" s="32" t="s">
        <v>160</v>
      </c>
      <c r="K14" s="32">
        <f t="shared" si="0"/>
        <v>0</v>
      </c>
      <c r="L14" s="17">
        <v>20</v>
      </c>
      <c r="M14" s="17" t="str">
        <f t="shared" si="1"/>
        <v>Place Order</v>
      </c>
      <c r="N14" s="17" t="s">
        <v>68</v>
      </c>
      <c r="O14" s="17">
        <v>450</v>
      </c>
      <c r="P14" s="40">
        <f t="shared" si="2"/>
        <v>0</v>
      </c>
      <c r="Q14" s="17"/>
      <c r="R14" s="17"/>
      <c r="S14" s="17"/>
      <c r="T14" s="17"/>
      <c r="U14" s="17"/>
      <c r="V14" s="17"/>
    </row>
    <row r="15" spans="1:22" x14ac:dyDescent="0.2">
      <c r="A15" s="27"/>
      <c r="B15" s="28"/>
      <c r="C15" s="28"/>
      <c r="D15" s="29">
        <v>45791</v>
      </c>
      <c r="E15" s="30" t="s">
        <v>17</v>
      </c>
      <c r="F15" s="30">
        <v>30</v>
      </c>
      <c r="H15" s="31" t="s">
        <v>176</v>
      </c>
      <c r="I15" s="17">
        <v>0</v>
      </c>
      <c r="J15" s="32" t="s">
        <v>162</v>
      </c>
      <c r="K15" s="32">
        <f t="shared" si="0"/>
        <v>0</v>
      </c>
      <c r="L15" s="17">
        <v>2</v>
      </c>
      <c r="M15" s="17" t="str">
        <f t="shared" si="1"/>
        <v>Place Order</v>
      </c>
      <c r="N15" s="17" t="s">
        <v>68</v>
      </c>
      <c r="O15" s="17"/>
      <c r="P15" s="40">
        <v>1500</v>
      </c>
      <c r="Q15" s="17"/>
      <c r="R15" s="17"/>
      <c r="S15" s="17"/>
      <c r="T15" s="17"/>
      <c r="U15" s="17"/>
      <c r="V15" s="17"/>
    </row>
    <row r="16" spans="1:22" x14ac:dyDescent="0.2">
      <c r="A16" s="27"/>
      <c r="B16" s="28"/>
      <c r="C16" s="28"/>
      <c r="D16" s="29">
        <v>45791</v>
      </c>
      <c r="E16" s="30" t="s">
        <v>18</v>
      </c>
      <c r="F16" s="30">
        <v>10</v>
      </c>
      <c r="H16" s="31" t="s">
        <v>177</v>
      </c>
      <c r="I16" s="17">
        <v>0</v>
      </c>
      <c r="J16" s="32" t="s">
        <v>163</v>
      </c>
      <c r="K16" s="32">
        <f t="shared" si="0"/>
        <v>0</v>
      </c>
      <c r="L16" s="17">
        <v>2</v>
      </c>
      <c r="M16" s="17" t="str">
        <f t="shared" si="1"/>
        <v>Place Order</v>
      </c>
      <c r="N16" s="17" t="s">
        <v>68</v>
      </c>
      <c r="O16" s="17"/>
      <c r="P16" s="40">
        <f t="shared" si="2"/>
        <v>0</v>
      </c>
      <c r="Q16" s="17"/>
      <c r="R16" s="17"/>
      <c r="S16" s="17"/>
      <c r="T16" s="17"/>
      <c r="U16" s="17"/>
      <c r="V16" s="17"/>
    </row>
    <row r="17" spans="1:22" x14ac:dyDescent="0.2">
      <c r="A17" s="27"/>
      <c r="B17" s="28"/>
      <c r="C17" s="28"/>
      <c r="D17" s="29">
        <v>45791</v>
      </c>
      <c r="E17" s="30" t="s">
        <v>159</v>
      </c>
      <c r="F17" s="30">
        <v>500</v>
      </c>
      <c r="H17" s="38" t="s">
        <v>199</v>
      </c>
      <c r="I17" s="17">
        <v>0</v>
      </c>
      <c r="J17" s="32" t="s">
        <v>198</v>
      </c>
      <c r="K17" s="32">
        <f t="shared" si="0"/>
        <v>0</v>
      </c>
      <c r="L17" s="17">
        <v>2</v>
      </c>
      <c r="M17" s="17" t="str">
        <f t="shared" si="1"/>
        <v>Place Order</v>
      </c>
      <c r="N17" s="17" t="s">
        <v>37</v>
      </c>
      <c r="O17" s="17"/>
      <c r="P17" s="40">
        <f t="shared" si="2"/>
        <v>0</v>
      </c>
      <c r="Q17" s="17"/>
      <c r="R17" s="17"/>
      <c r="S17" s="17"/>
      <c r="T17" s="17"/>
      <c r="U17" s="17"/>
      <c r="V17" s="17"/>
    </row>
    <row r="18" spans="1:22" x14ac:dyDescent="0.2">
      <c r="A18" s="27"/>
      <c r="B18" s="28"/>
      <c r="C18" s="28"/>
      <c r="D18" s="29">
        <v>45792</v>
      </c>
      <c r="E18" s="30" t="s">
        <v>18</v>
      </c>
      <c r="F18" s="30">
        <v>10</v>
      </c>
      <c r="H18" s="38" t="s">
        <v>206</v>
      </c>
      <c r="I18" s="17">
        <v>0</v>
      </c>
      <c r="J18" s="32" t="s">
        <v>207</v>
      </c>
      <c r="K18" s="32">
        <f t="shared" si="0"/>
        <v>0</v>
      </c>
      <c r="L18" s="17">
        <v>2</v>
      </c>
      <c r="M18" s="17" t="str">
        <f t="shared" si="1"/>
        <v>Place Order</v>
      </c>
      <c r="N18" s="17" t="s">
        <v>68</v>
      </c>
      <c r="O18" s="17">
        <v>1600</v>
      </c>
      <c r="P18" s="40">
        <f t="shared" si="2"/>
        <v>0</v>
      </c>
      <c r="Q18" s="17"/>
      <c r="R18" s="17"/>
      <c r="S18" s="17"/>
      <c r="T18" s="17"/>
      <c r="U18" s="17"/>
      <c r="V18" s="17"/>
    </row>
    <row r="19" spans="1:22" x14ac:dyDescent="0.2">
      <c r="A19" s="27"/>
      <c r="B19" s="28"/>
      <c r="C19" s="28"/>
      <c r="D19" s="29">
        <v>45792</v>
      </c>
      <c r="E19" s="30" t="s">
        <v>159</v>
      </c>
      <c r="F19" s="30">
        <v>500</v>
      </c>
      <c r="G19" s="8"/>
      <c r="H19" s="8"/>
      <c r="O19" s="17"/>
      <c r="P19" s="41">
        <f>SUM(P5:P18)</f>
        <v>414578</v>
      </c>
      <c r="Q19" s="17"/>
      <c r="R19" s="17"/>
      <c r="S19" s="17"/>
      <c r="T19" s="17"/>
      <c r="U19" s="17"/>
      <c r="V19" s="17"/>
    </row>
    <row r="20" spans="1:22" x14ac:dyDescent="0.2">
      <c r="A20" s="27"/>
      <c r="B20" s="28"/>
      <c r="C20" s="28"/>
      <c r="D20" s="29">
        <v>45799</v>
      </c>
      <c r="E20" s="30" t="s">
        <v>18</v>
      </c>
      <c r="F20" s="30">
        <v>20</v>
      </c>
      <c r="G20" s="8"/>
      <c r="H20" s="8"/>
      <c r="Q20" s="17"/>
      <c r="R20" s="17"/>
      <c r="S20" s="17"/>
      <c r="T20" s="17"/>
      <c r="U20" s="17"/>
      <c r="V20" s="17"/>
    </row>
    <row r="21" spans="1:22" x14ac:dyDescent="0.2">
      <c r="A21" s="27"/>
      <c r="B21" s="28"/>
      <c r="C21" s="28"/>
      <c r="D21" s="29">
        <v>45799</v>
      </c>
      <c r="E21" s="30" t="s">
        <v>159</v>
      </c>
      <c r="F21" s="30">
        <v>1000</v>
      </c>
      <c r="G21" s="8"/>
      <c r="H21" s="8"/>
      <c r="Q21" s="17"/>
      <c r="R21" s="17"/>
      <c r="S21" s="17"/>
      <c r="T21" s="17"/>
      <c r="U21" s="17"/>
      <c r="V21" s="17"/>
    </row>
    <row r="22" spans="1:22" x14ac:dyDescent="0.2">
      <c r="A22" s="27"/>
      <c r="B22" s="28"/>
      <c r="C22" s="28"/>
      <c r="D22" s="29">
        <v>45799</v>
      </c>
      <c r="E22" s="30" t="s">
        <v>17</v>
      </c>
      <c r="F22" s="30">
        <v>50</v>
      </c>
      <c r="G22" s="8"/>
      <c r="H22" s="8"/>
      <c r="Q22" s="17"/>
      <c r="R22" s="17"/>
      <c r="S22" s="17" t="s">
        <v>67</v>
      </c>
      <c r="T22" s="17"/>
      <c r="U22" s="17"/>
      <c r="V22" s="17"/>
    </row>
    <row r="23" spans="1:22" x14ac:dyDescent="0.2">
      <c r="A23" s="27"/>
      <c r="B23" s="28"/>
      <c r="C23" s="28"/>
      <c r="D23" s="29">
        <v>45803</v>
      </c>
      <c r="E23" s="30" t="s">
        <v>17</v>
      </c>
      <c r="F23" s="30">
        <v>55</v>
      </c>
      <c r="G23" s="8"/>
      <c r="H23" s="8"/>
      <c r="Q23" s="17"/>
      <c r="R23" s="17"/>
      <c r="S23" s="17"/>
      <c r="T23" s="17"/>
      <c r="U23" s="17"/>
      <c r="V23" s="17"/>
    </row>
    <row r="24" spans="1:22" x14ac:dyDescent="0.2">
      <c r="A24" s="27"/>
      <c r="B24" s="28"/>
      <c r="C24" s="28"/>
      <c r="D24" s="29">
        <v>45806</v>
      </c>
      <c r="E24" s="30" t="s">
        <v>17</v>
      </c>
      <c r="F24" s="30">
        <v>45</v>
      </c>
      <c r="G24" s="8"/>
      <c r="H24" s="25" t="s">
        <v>2</v>
      </c>
      <c r="I24" s="25" t="s">
        <v>1</v>
      </c>
      <c r="J24" s="25" t="s">
        <v>253</v>
      </c>
      <c r="K24" s="25" t="s">
        <v>613</v>
      </c>
      <c r="Q24" s="17"/>
      <c r="R24" s="17"/>
      <c r="S24" s="17"/>
      <c r="T24" s="17"/>
      <c r="U24" s="17"/>
      <c r="V24" s="17"/>
    </row>
    <row r="25" spans="1:22" x14ac:dyDescent="0.2">
      <c r="A25" s="27"/>
      <c r="B25" s="28"/>
      <c r="C25" s="28"/>
      <c r="D25" s="29"/>
      <c r="E25" s="30"/>
      <c r="F25" s="30"/>
      <c r="G25" s="8"/>
      <c r="H25" s="17" t="str" cm="1">
        <f t="array" ref="H25:I30">_xlfn.GROUPBY(E5:E36,F5:F36,_xleta.SUM)</f>
        <v>2T oil</v>
      </c>
      <c r="I25" s="17">
        <v>7000</v>
      </c>
      <c r="J25" s="17">
        <v>1.2</v>
      </c>
      <c r="K25" s="40">
        <f>J25*I25</f>
        <v>8400</v>
      </c>
      <c r="Q25" s="17"/>
      <c r="R25" s="17"/>
      <c r="S25" s="17"/>
      <c r="T25" s="17"/>
      <c r="U25" s="17"/>
      <c r="V25" s="17"/>
    </row>
    <row r="26" spans="1:22" x14ac:dyDescent="0.2">
      <c r="A26" s="27"/>
      <c r="B26" s="28"/>
      <c r="C26" s="28"/>
      <c r="D26" s="29"/>
      <c r="E26" s="30"/>
      <c r="F26" s="30"/>
      <c r="G26" s="8"/>
      <c r="H26" s="17" t="str">
        <v>Diesel</v>
      </c>
      <c r="I26" s="17">
        <v>220</v>
      </c>
      <c r="J26" s="17">
        <v>309</v>
      </c>
      <c r="K26" s="40">
        <f t="shared" ref="K26:K28" si="4">J26*I26</f>
        <v>67980</v>
      </c>
      <c r="Q26" s="17"/>
      <c r="R26" s="17"/>
      <c r="S26" s="17"/>
      <c r="T26" s="17"/>
      <c r="U26" s="17"/>
      <c r="V26" s="17"/>
    </row>
    <row r="27" spans="1:22" x14ac:dyDescent="0.2">
      <c r="A27" s="27"/>
      <c r="B27" s="28"/>
      <c r="C27" s="28"/>
      <c r="D27" s="29"/>
      <c r="E27" s="30"/>
      <c r="F27" s="30"/>
      <c r="G27" s="8"/>
      <c r="H27" s="17" t="str">
        <v>Kerosene</v>
      </c>
      <c r="I27" s="17">
        <v>7</v>
      </c>
      <c r="J27" s="17">
        <v>183</v>
      </c>
      <c r="K27" s="40">
        <f t="shared" si="4"/>
        <v>1281</v>
      </c>
      <c r="Q27" s="17"/>
      <c r="R27" s="17"/>
      <c r="S27" s="17"/>
      <c r="T27" s="17"/>
      <c r="U27" s="17"/>
      <c r="V27" s="17"/>
    </row>
    <row r="28" spans="1:22" x14ac:dyDescent="0.2">
      <c r="A28" s="27"/>
      <c r="B28" s="28"/>
      <c r="C28" s="28"/>
      <c r="D28" s="29"/>
      <c r="E28" s="30"/>
      <c r="F28" s="30"/>
      <c r="G28" s="8"/>
      <c r="H28" s="17" t="str">
        <v>Petrol</v>
      </c>
      <c r="I28" s="17">
        <v>140</v>
      </c>
      <c r="J28" s="17">
        <v>293</v>
      </c>
      <c r="K28" s="40">
        <f t="shared" si="4"/>
        <v>41020</v>
      </c>
      <c r="Q28" s="17"/>
      <c r="R28" s="17"/>
      <c r="S28" s="17"/>
      <c r="T28" s="17"/>
      <c r="U28" s="17"/>
      <c r="V28" s="17"/>
    </row>
    <row r="29" spans="1:22" x14ac:dyDescent="0.2">
      <c r="A29" s="27"/>
      <c r="B29" s="28"/>
      <c r="C29" s="28"/>
      <c r="D29" s="29"/>
      <c r="E29" s="30"/>
      <c r="F29" s="30"/>
      <c r="G29" s="8"/>
      <c r="H29" s="17">
        <v>0</v>
      </c>
      <c r="I29" s="17">
        <v>0</v>
      </c>
      <c r="J29" s="13"/>
      <c r="K29" s="54">
        <f>SUM(K25:K28)</f>
        <v>118681</v>
      </c>
      <c r="Q29" s="17"/>
      <c r="R29" s="17"/>
      <c r="S29" s="17"/>
      <c r="T29" s="17"/>
      <c r="U29" s="17"/>
      <c r="V29" s="17"/>
    </row>
    <row r="30" spans="1:22" x14ac:dyDescent="0.2">
      <c r="A30" s="27"/>
      <c r="B30" s="28"/>
      <c r="C30" s="28"/>
      <c r="D30" s="29"/>
      <c r="E30" s="30"/>
      <c r="F30" s="30"/>
      <c r="G30" s="8"/>
      <c r="H30" s="8" t="str">
        <v>Total</v>
      </c>
      <c r="I30" s="8">
        <v>7367</v>
      </c>
      <c r="Q30" s="17"/>
      <c r="R30" s="17"/>
      <c r="S30" s="17"/>
      <c r="T30" s="17"/>
      <c r="U30" s="17"/>
      <c r="V30" s="17"/>
    </row>
    <row r="31" spans="1:22" x14ac:dyDescent="0.2">
      <c r="A31" s="27"/>
      <c r="B31" s="28"/>
      <c r="C31" s="28"/>
      <c r="D31" s="29"/>
      <c r="E31" s="30"/>
      <c r="F31" s="30"/>
      <c r="G31" s="8"/>
      <c r="H31" s="8"/>
      <c r="M31" s="8" t="str">
        <f>IF((K31+V31)&lt;L31,"Place Order","")</f>
        <v/>
      </c>
      <c r="Q31" s="17"/>
      <c r="R31" s="17"/>
      <c r="S31" s="17"/>
      <c r="T31" s="17"/>
      <c r="U31" s="17"/>
      <c r="V31" s="17">
        <f t="shared" si="3"/>
        <v>0</v>
      </c>
    </row>
    <row r="32" spans="1:22" x14ac:dyDescent="0.2">
      <c r="A32" s="27"/>
      <c r="B32" s="27"/>
      <c r="C32" s="27"/>
      <c r="D32" s="29"/>
      <c r="E32" s="30"/>
      <c r="F32" s="30"/>
      <c r="G32" s="8"/>
      <c r="H32" s="8"/>
    </row>
    <row r="33" spans="1:9" x14ac:dyDescent="0.2">
      <c r="A33" s="27"/>
      <c r="B33" s="27"/>
      <c r="C33" s="27"/>
      <c r="D33" s="29"/>
      <c r="E33" s="30"/>
      <c r="F33" s="30"/>
      <c r="G33" s="8"/>
      <c r="H33" s="8"/>
    </row>
    <row r="34" spans="1:9" x14ac:dyDescent="0.2">
      <c r="A34" s="27"/>
      <c r="B34" s="27"/>
      <c r="C34" s="27"/>
      <c r="D34" s="29"/>
      <c r="E34" s="30"/>
      <c r="F34" s="30"/>
      <c r="G34" s="8"/>
      <c r="H34" s="8"/>
    </row>
    <row r="35" spans="1:9" x14ac:dyDescent="0.2">
      <c r="A35" s="27"/>
      <c r="B35" s="27"/>
      <c r="C35" s="27"/>
      <c r="D35" s="29"/>
      <c r="E35" s="30"/>
      <c r="F35" s="30"/>
      <c r="G35" s="8"/>
      <c r="H35" s="8"/>
    </row>
    <row r="36" spans="1:9" x14ac:dyDescent="0.2">
      <c r="A36" s="27"/>
      <c r="B36" s="27"/>
      <c r="C36" s="27"/>
      <c r="D36" s="29"/>
      <c r="E36" s="30"/>
      <c r="F36" s="30"/>
      <c r="G36" s="8"/>
      <c r="H36" s="8"/>
    </row>
    <row r="37" spans="1:9" x14ac:dyDescent="0.2">
      <c r="A37" s="27"/>
      <c r="B37" s="27"/>
      <c r="C37" s="27"/>
      <c r="D37" s="48"/>
      <c r="E37" s="30"/>
      <c r="F37" s="30"/>
      <c r="G37" s="8"/>
      <c r="H37" s="8"/>
      <c r="I37" s="8" t="s">
        <v>67</v>
      </c>
    </row>
    <row r="38" spans="1:9" x14ac:dyDescent="0.2">
      <c r="A38" s="27"/>
      <c r="B38" s="27"/>
      <c r="C38" s="27"/>
      <c r="D38" s="48"/>
      <c r="E38" s="30"/>
      <c r="F38" s="30"/>
      <c r="G38" s="8"/>
      <c r="H38" s="8"/>
    </row>
    <row r="39" spans="1:9" x14ac:dyDescent="0.2">
      <c r="A39" s="27"/>
      <c r="B39" s="27"/>
      <c r="C39" s="27"/>
      <c r="D39" s="48"/>
      <c r="E39" s="30"/>
      <c r="F39" s="30"/>
      <c r="G39" s="8"/>
      <c r="H39" s="8"/>
    </row>
    <row r="40" spans="1:9" x14ac:dyDescent="0.2">
      <c r="A40" s="27"/>
      <c r="B40" s="27"/>
      <c r="C40" s="27"/>
      <c r="D40" s="29"/>
      <c r="E40" s="30"/>
      <c r="F40" s="30"/>
      <c r="G40" s="8"/>
      <c r="H40" s="8"/>
    </row>
    <row r="41" spans="1:9" x14ac:dyDescent="0.2">
      <c r="A41" s="27"/>
      <c r="B41" s="27"/>
      <c r="C41" s="27"/>
      <c r="D41" s="29"/>
      <c r="E41" s="30"/>
      <c r="F41" s="30"/>
      <c r="G41" s="8"/>
      <c r="H41" s="8"/>
    </row>
    <row r="42" spans="1:9" x14ac:dyDescent="0.2">
      <c r="A42" s="27"/>
      <c r="B42" s="27"/>
      <c r="C42" s="27"/>
      <c r="D42" s="29"/>
      <c r="E42" s="30"/>
      <c r="F42" s="30"/>
      <c r="G42" s="8"/>
      <c r="H42" s="8"/>
    </row>
    <row r="43" spans="1:9" x14ac:dyDescent="0.2">
      <c r="A43" s="27"/>
      <c r="B43" s="27"/>
      <c r="C43" s="27"/>
      <c r="D43" s="29"/>
      <c r="E43" s="30"/>
      <c r="F43" s="30"/>
      <c r="G43" s="8"/>
      <c r="H43" s="8"/>
    </row>
    <row r="44" spans="1:9" x14ac:dyDescent="0.2">
      <c r="A44" s="27"/>
      <c r="B44" s="27"/>
      <c r="C44" s="27"/>
      <c r="D44" s="29"/>
      <c r="E44" s="30"/>
      <c r="F44" s="30"/>
      <c r="G44" s="8"/>
      <c r="H44" s="8"/>
    </row>
    <row r="45" spans="1:9" x14ac:dyDescent="0.2">
      <c r="A45" s="27"/>
      <c r="B45" s="27"/>
      <c r="C45" s="27"/>
      <c r="D45" s="29"/>
      <c r="E45" s="30"/>
      <c r="F45" s="30"/>
      <c r="G45" s="8"/>
      <c r="H45" s="8"/>
    </row>
    <row r="46" spans="1:9" x14ac:dyDescent="0.2">
      <c r="A46" s="27"/>
      <c r="B46" s="27"/>
      <c r="C46" s="27"/>
      <c r="D46" s="29"/>
      <c r="E46" s="30"/>
      <c r="F46" s="30"/>
      <c r="G46" s="8"/>
      <c r="H46" s="8"/>
    </row>
    <row r="47" spans="1:9" x14ac:dyDescent="0.2">
      <c r="G47" s="8"/>
      <c r="H47" s="8"/>
    </row>
    <row r="48" spans="1:9" x14ac:dyDescent="0.2">
      <c r="G48" s="8"/>
      <c r="H48" s="8"/>
    </row>
    <row r="49" spans="4:8" x14ac:dyDescent="0.2">
      <c r="G49" s="8"/>
      <c r="H49" s="8"/>
    </row>
    <row r="50" spans="4:8" x14ac:dyDescent="0.2">
      <c r="G50" s="8"/>
      <c r="H50" s="8"/>
    </row>
    <row r="51" spans="4:8" x14ac:dyDescent="0.2">
      <c r="D51" s="8" t="s">
        <v>67</v>
      </c>
      <c r="G51" s="8"/>
      <c r="H51" s="8"/>
    </row>
    <row r="52" spans="4:8" x14ac:dyDescent="0.2">
      <c r="G52" s="8"/>
      <c r="H52" s="8"/>
    </row>
    <row r="53" spans="4:8" x14ac:dyDescent="0.2">
      <c r="G53" s="8"/>
      <c r="H53" s="8"/>
    </row>
    <row r="54" spans="4:8" x14ac:dyDescent="0.2">
      <c r="G54" s="8"/>
      <c r="H54" s="8"/>
    </row>
    <row r="55" spans="4:8" x14ac:dyDescent="0.2">
      <c r="G55" s="8"/>
      <c r="H55" s="8"/>
    </row>
    <row r="56" spans="4:8" x14ac:dyDescent="0.2">
      <c r="G56" s="8"/>
      <c r="H56" s="8"/>
    </row>
    <row r="57" spans="4:8" x14ac:dyDescent="0.2">
      <c r="G57" s="8"/>
      <c r="H57" s="8"/>
    </row>
    <row r="58" spans="4:8" x14ac:dyDescent="0.2">
      <c r="G58" s="8"/>
      <c r="H58" s="8"/>
    </row>
    <row r="59" spans="4:8" x14ac:dyDescent="0.2">
      <c r="G59" s="8"/>
      <c r="H59" s="8"/>
    </row>
    <row r="60" spans="4:8" x14ac:dyDescent="0.2">
      <c r="G60" s="8"/>
      <c r="H60" s="8"/>
    </row>
    <row r="61" spans="4:8" x14ac:dyDescent="0.2">
      <c r="G61" s="8"/>
      <c r="H61" s="8"/>
    </row>
    <row r="62" spans="4:8" x14ac:dyDescent="0.2">
      <c r="G62" s="8"/>
      <c r="H62" s="8"/>
    </row>
    <row r="63" spans="4:8" x14ac:dyDescent="0.2">
      <c r="G63" s="8"/>
      <c r="H63" s="8"/>
    </row>
    <row r="64" spans="4:8" x14ac:dyDescent="0.2">
      <c r="G64" s="8"/>
      <c r="H64" s="8"/>
    </row>
    <row r="65" s="8" customFormat="1" x14ac:dyDescent="0.2"/>
    <row r="66" s="8" customFormat="1" x14ac:dyDescent="0.2"/>
    <row r="67" s="8" customFormat="1" x14ac:dyDescent="0.2"/>
    <row r="68" s="8" customFormat="1" x14ac:dyDescent="0.2"/>
    <row r="69" s="8" customFormat="1" x14ac:dyDescent="0.2"/>
    <row r="70" s="8" customFormat="1" x14ac:dyDescent="0.2"/>
    <row r="71" s="8" customFormat="1" x14ac:dyDescent="0.2"/>
    <row r="72" s="8" customFormat="1" x14ac:dyDescent="0.2"/>
    <row r="73" s="8" customFormat="1" x14ac:dyDescent="0.2"/>
    <row r="74" s="8" customFormat="1" x14ac:dyDescent="0.2"/>
    <row r="75" s="8" customFormat="1" x14ac:dyDescent="0.2"/>
    <row r="76" s="8" customFormat="1" x14ac:dyDescent="0.2"/>
    <row r="77" s="8" customFormat="1" x14ac:dyDescent="0.2"/>
    <row r="78" s="8" customFormat="1" x14ac:dyDescent="0.2"/>
    <row r="79" s="8" customFormat="1" x14ac:dyDescent="0.2"/>
    <row r="80" s="8" customFormat="1" x14ac:dyDescent="0.2"/>
    <row r="81" s="8" customFormat="1" x14ac:dyDescent="0.2"/>
    <row r="82" s="8" customFormat="1" x14ac:dyDescent="0.2"/>
    <row r="83" s="8" customFormat="1" x14ac:dyDescent="0.2"/>
    <row r="84" s="8" customFormat="1" x14ac:dyDescent="0.2"/>
    <row r="85" s="8" customFormat="1" x14ac:dyDescent="0.2"/>
    <row r="86" s="8" customFormat="1" x14ac:dyDescent="0.2"/>
    <row r="87" s="8" customFormat="1" x14ac:dyDescent="0.2"/>
    <row r="88" s="8" customFormat="1" x14ac:dyDescent="0.2"/>
    <row r="89" s="8" customFormat="1" x14ac:dyDescent="0.2"/>
    <row r="90" s="8" customFormat="1" x14ac:dyDescent="0.2"/>
    <row r="91" s="8" customFormat="1" x14ac:dyDescent="0.2"/>
    <row r="92" s="8" customFormat="1" x14ac:dyDescent="0.2"/>
    <row r="93" s="8" customFormat="1" x14ac:dyDescent="0.2"/>
    <row r="94" s="8" customFormat="1" x14ac:dyDescent="0.2"/>
    <row r="95" s="8" customFormat="1" x14ac:dyDescent="0.2"/>
    <row r="96" s="8" customFormat="1" x14ac:dyDescent="0.2"/>
    <row r="97" s="8" customFormat="1" x14ac:dyDescent="0.2"/>
    <row r="98" s="8" customFormat="1" x14ac:dyDescent="0.2"/>
    <row r="99" s="8" customFormat="1" x14ac:dyDescent="0.2"/>
    <row r="100" s="8" customFormat="1" x14ac:dyDescent="0.2"/>
    <row r="101" s="8" customFormat="1" x14ac:dyDescent="0.2"/>
    <row r="102" s="8" customFormat="1" x14ac:dyDescent="0.2"/>
    <row r="103" s="8" customFormat="1" x14ac:dyDescent="0.2"/>
    <row r="104" s="8" customFormat="1" x14ac:dyDescent="0.2"/>
    <row r="105" s="8" customFormat="1" x14ac:dyDescent="0.2"/>
    <row r="106" s="8" customFormat="1" x14ac:dyDescent="0.2"/>
    <row r="107" s="8" customFormat="1" x14ac:dyDescent="0.2"/>
    <row r="108" s="8" customFormat="1" x14ac:dyDescent="0.2"/>
    <row r="109" s="8" customFormat="1" x14ac:dyDescent="0.2"/>
    <row r="110" s="8" customFormat="1" x14ac:dyDescent="0.2"/>
    <row r="111" s="8" customFormat="1" x14ac:dyDescent="0.2"/>
    <row r="112" s="8" customFormat="1" x14ac:dyDescent="0.2"/>
    <row r="113" s="8" customFormat="1" x14ac:dyDescent="0.2"/>
    <row r="114" s="8" customFormat="1" x14ac:dyDescent="0.2"/>
    <row r="115" s="8" customFormat="1" x14ac:dyDescent="0.2"/>
    <row r="116" s="8" customFormat="1" x14ac:dyDescent="0.2"/>
    <row r="117" s="8" customFormat="1" x14ac:dyDescent="0.2"/>
    <row r="118" s="8" customFormat="1" x14ac:dyDescent="0.2"/>
    <row r="119" s="8" customFormat="1" x14ac:dyDescent="0.2"/>
    <row r="120" s="8" customFormat="1" x14ac:dyDescent="0.2"/>
    <row r="121" s="8" customFormat="1" x14ac:dyDescent="0.2"/>
    <row r="122" s="8" customFormat="1" x14ac:dyDescent="0.2"/>
    <row r="123" s="8" customFormat="1" x14ac:dyDescent="0.2"/>
    <row r="124" s="8" customFormat="1" x14ac:dyDescent="0.2"/>
    <row r="125" s="8" customFormat="1" x14ac:dyDescent="0.2"/>
    <row r="126" s="8" customFormat="1" x14ac:dyDescent="0.2"/>
    <row r="127" s="8" customFormat="1" x14ac:dyDescent="0.2"/>
    <row r="128" s="8" customFormat="1" x14ac:dyDescent="0.2"/>
    <row r="129" s="8" customFormat="1" x14ac:dyDescent="0.2"/>
    <row r="130" s="8" customFormat="1" x14ac:dyDescent="0.2"/>
    <row r="131" s="8" customFormat="1" x14ac:dyDescent="0.2"/>
    <row r="132" s="8" customFormat="1" x14ac:dyDescent="0.2"/>
    <row r="133" s="8" customFormat="1" x14ac:dyDescent="0.2"/>
    <row r="134" s="8" customFormat="1" x14ac:dyDescent="0.2"/>
    <row r="135" s="8" customFormat="1" x14ac:dyDescent="0.2"/>
    <row r="136" s="8" customFormat="1" x14ac:dyDescent="0.2"/>
    <row r="137" s="8" customFormat="1" x14ac:dyDescent="0.2"/>
    <row r="138" s="8" customFormat="1" x14ac:dyDescent="0.2"/>
    <row r="139" s="8" customFormat="1" x14ac:dyDescent="0.2"/>
    <row r="140" s="8" customFormat="1" x14ac:dyDescent="0.2"/>
    <row r="141" s="8" customFormat="1" x14ac:dyDescent="0.2"/>
    <row r="142" s="8" customFormat="1" x14ac:dyDescent="0.2"/>
    <row r="143" s="8" customFormat="1" x14ac:dyDescent="0.2"/>
    <row r="144" s="8" customFormat="1" x14ac:dyDescent="0.2"/>
    <row r="145" s="8" customFormat="1" x14ac:dyDescent="0.2"/>
    <row r="146" s="8" customFormat="1" x14ac:dyDescent="0.2"/>
    <row r="147" s="8" customFormat="1" x14ac:dyDescent="0.2"/>
    <row r="148" s="8" customFormat="1" x14ac:dyDescent="0.2"/>
    <row r="149" s="8" customFormat="1" x14ac:dyDescent="0.2"/>
    <row r="150" s="8" customFormat="1" x14ac:dyDescent="0.2"/>
    <row r="151" s="8" customFormat="1" x14ac:dyDescent="0.2"/>
    <row r="152" s="8" customFormat="1" x14ac:dyDescent="0.2"/>
    <row r="153" s="8" customFormat="1" x14ac:dyDescent="0.2"/>
    <row r="154" s="8" customFormat="1" x14ac:dyDescent="0.2"/>
    <row r="155" s="8" customFormat="1" x14ac:dyDescent="0.2"/>
    <row r="156" s="8" customFormat="1" x14ac:dyDescent="0.2"/>
    <row r="157" s="8" customFormat="1" x14ac:dyDescent="0.2"/>
    <row r="158" s="8" customFormat="1" x14ac:dyDescent="0.2"/>
    <row r="159" s="8" customFormat="1" x14ac:dyDescent="0.2"/>
    <row r="160" s="8" customFormat="1" x14ac:dyDescent="0.2"/>
    <row r="161" s="8" customFormat="1" x14ac:dyDescent="0.2"/>
    <row r="162" s="8" customFormat="1" x14ac:dyDescent="0.2"/>
    <row r="163" s="8" customFormat="1" x14ac:dyDescent="0.2"/>
    <row r="164" s="8" customFormat="1" x14ac:dyDescent="0.2"/>
    <row r="165" s="8" customFormat="1" x14ac:dyDescent="0.2"/>
    <row r="166" s="8" customFormat="1" x14ac:dyDescent="0.2"/>
    <row r="167" s="8" customFormat="1" x14ac:dyDescent="0.2"/>
    <row r="168" s="8" customFormat="1" x14ac:dyDescent="0.2"/>
    <row r="169" s="8" customFormat="1" x14ac:dyDescent="0.2"/>
    <row r="170" s="8" customFormat="1" x14ac:dyDescent="0.2"/>
    <row r="171" s="8" customFormat="1" x14ac:dyDescent="0.2"/>
    <row r="172" s="8" customFormat="1" x14ac:dyDescent="0.2"/>
    <row r="173" s="8" customFormat="1" x14ac:dyDescent="0.2"/>
    <row r="174" s="8" customFormat="1" x14ac:dyDescent="0.2"/>
    <row r="175" s="8" customFormat="1" x14ac:dyDescent="0.2"/>
    <row r="176" s="8" customFormat="1" x14ac:dyDescent="0.2"/>
    <row r="177" s="8" customFormat="1" x14ac:dyDescent="0.2"/>
    <row r="178" s="8" customFormat="1" x14ac:dyDescent="0.2"/>
    <row r="179" s="8" customFormat="1" x14ac:dyDescent="0.2"/>
    <row r="180" s="8" customFormat="1" x14ac:dyDescent="0.2"/>
    <row r="181" s="8" customFormat="1" x14ac:dyDescent="0.2"/>
    <row r="182" s="8" customFormat="1" x14ac:dyDescent="0.2"/>
    <row r="183" s="8" customFormat="1" x14ac:dyDescent="0.2"/>
    <row r="184" s="8" customFormat="1" x14ac:dyDescent="0.2"/>
    <row r="185" s="8" customFormat="1" x14ac:dyDescent="0.2"/>
    <row r="186" s="8" customFormat="1" x14ac:dyDescent="0.2"/>
    <row r="187" s="8" customFormat="1" x14ac:dyDescent="0.2"/>
    <row r="188" s="8" customFormat="1" x14ac:dyDescent="0.2"/>
    <row r="189" s="8" customFormat="1" x14ac:dyDescent="0.2"/>
    <row r="190" s="8" customFormat="1" x14ac:dyDescent="0.2"/>
    <row r="191" s="8" customFormat="1" x14ac:dyDescent="0.2"/>
    <row r="192" s="8" customFormat="1" x14ac:dyDescent="0.2"/>
    <row r="193" s="8" customFormat="1" x14ac:dyDescent="0.2"/>
    <row r="194" s="8" customFormat="1" x14ac:dyDescent="0.2"/>
    <row r="195" s="8" customFormat="1" x14ac:dyDescent="0.2"/>
    <row r="196" s="8" customFormat="1" x14ac:dyDescent="0.2"/>
    <row r="197" s="8" customFormat="1" x14ac:dyDescent="0.2"/>
    <row r="198" s="8" customFormat="1" x14ac:dyDescent="0.2"/>
    <row r="199" s="8" customFormat="1" x14ac:dyDescent="0.2"/>
    <row r="200" s="8" customFormat="1" x14ac:dyDescent="0.2"/>
    <row r="201" s="8" customFormat="1" x14ac:dyDescent="0.2"/>
    <row r="202" s="8" customFormat="1" x14ac:dyDescent="0.2"/>
    <row r="203" s="8" customFormat="1" x14ac:dyDescent="0.2"/>
    <row r="204" s="8" customFormat="1" x14ac:dyDescent="0.2"/>
    <row r="205" s="8" customFormat="1" x14ac:dyDescent="0.2"/>
    <row r="206" s="8" customFormat="1" x14ac:dyDescent="0.2"/>
    <row r="207" s="8" customFormat="1" x14ac:dyDescent="0.2"/>
    <row r="208" s="8" customFormat="1" x14ac:dyDescent="0.2"/>
    <row r="209" s="8" customFormat="1" x14ac:dyDescent="0.2"/>
    <row r="210" s="8" customFormat="1" x14ac:dyDescent="0.2"/>
    <row r="211" s="8" customFormat="1" x14ac:dyDescent="0.2"/>
    <row r="212" s="8" customFormat="1" x14ac:dyDescent="0.2"/>
    <row r="213" s="8" customFormat="1" x14ac:dyDescent="0.2"/>
    <row r="214" s="8" customFormat="1" x14ac:dyDescent="0.2"/>
    <row r="215" s="8" customFormat="1" x14ac:dyDescent="0.2"/>
    <row r="216" s="8" customFormat="1" x14ac:dyDescent="0.2"/>
    <row r="217" s="8" customFormat="1" x14ac:dyDescent="0.2"/>
    <row r="218" s="8" customFormat="1" x14ac:dyDescent="0.2"/>
    <row r="219" s="8" customFormat="1" x14ac:dyDescent="0.2"/>
    <row r="220" s="8" customFormat="1" x14ac:dyDescent="0.2"/>
    <row r="221" s="8" customFormat="1" x14ac:dyDescent="0.2"/>
    <row r="222" s="8" customFormat="1" x14ac:dyDescent="0.2"/>
    <row r="223" s="8" customFormat="1" x14ac:dyDescent="0.2"/>
    <row r="224" s="8" customFormat="1" x14ac:dyDescent="0.2"/>
    <row r="225" s="8" customFormat="1" x14ac:dyDescent="0.2"/>
    <row r="226" s="8" customFormat="1" x14ac:dyDescent="0.2"/>
    <row r="227" s="8" customFormat="1" x14ac:dyDescent="0.2"/>
    <row r="228" s="8" customFormat="1" x14ac:dyDescent="0.2"/>
    <row r="229" s="8" customFormat="1" x14ac:dyDescent="0.2"/>
    <row r="230" s="8" customFormat="1" x14ac:dyDescent="0.2"/>
    <row r="231" s="8" customFormat="1" x14ac:dyDescent="0.2"/>
    <row r="232" s="8" customFormat="1" x14ac:dyDescent="0.2"/>
    <row r="233" s="8" customFormat="1" x14ac:dyDescent="0.2"/>
    <row r="234" s="8" customFormat="1" x14ac:dyDescent="0.2"/>
    <row r="235" s="8" customFormat="1" x14ac:dyDescent="0.2"/>
    <row r="236" s="8" customFormat="1" x14ac:dyDescent="0.2"/>
    <row r="237" s="8" customFormat="1" x14ac:dyDescent="0.2"/>
    <row r="238" s="8" customFormat="1" x14ac:dyDescent="0.2"/>
    <row r="239" s="8" customFormat="1" x14ac:dyDescent="0.2"/>
    <row r="240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  <row r="300" s="8" customFormat="1" x14ac:dyDescent="0.2"/>
    <row r="301" s="8" customFormat="1" x14ac:dyDescent="0.2"/>
    <row r="302" s="8" customFormat="1" x14ac:dyDescent="0.2"/>
    <row r="303" s="8" customFormat="1" x14ac:dyDescent="0.2"/>
    <row r="304" s="8" customFormat="1" x14ac:dyDescent="0.2"/>
    <row r="305" s="8" customFormat="1" x14ac:dyDescent="0.2"/>
    <row r="306" s="8" customFormat="1" x14ac:dyDescent="0.2"/>
    <row r="307" s="8" customFormat="1" x14ac:dyDescent="0.2"/>
    <row r="308" s="8" customFormat="1" x14ac:dyDescent="0.2"/>
    <row r="309" s="8" customFormat="1" x14ac:dyDescent="0.2"/>
    <row r="310" s="8" customFormat="1" x14ac:dyDescent="0.2"/>
    <row r="311" s="8" customFormat="1" x14ac:dyDescent="0.2"/>
    <row r="312" s="8" customFormat="1" x14ac:dyDescent="0.2"/>
    <row r="313" s="8" customFormat="1" x14ac:dyDescent="0.2"/>
    <row r="314" s="8" customFormat="1" x14ac:dyDescent="0.2"/>
    <row r="315" s="8" customFormat="1" x14ac:dyDescent="0.2"/>
    <row r="316" s="8" customFormat="1" x14ac:dyDescent="0.2"/>
    <row r="317" s="8" customFormat="1" x14ac:dyDescent="0.2"/>
    <row r="318" s="8" customFormat="1" x14ac:dyDescent="0.2"/>
    <row r="319" s="8" customFormat="1" x14ac:dyDescent="0.2"/>
    <row r="320" s="8" customFormat="1" x14ac:dyDescent="0.2"/>
    <row r="321" s="8" customFormat="1" x14ac:dyDescent="0.2"/>
    <row r="322" s="8" customFormat="1" x14ac:dyDescent="0.2"/>
    <row r="323" s="8" customFormat="1" x14ac:dyDescent="0.2"/>
    <row r="324" s="8" customFormat="1" x14ac:dyDescent="0.2"/>
    <row r="325" s="8" customFormat="1" x14ac:dyDescent="0.2"/>
    <row r="326" s="8" customFormat="1" x14ac:dyDescent="0.2"/>
    <row r="327" s="8" customFormat="1" x14ac:dyDescent="0.2"/>
    <row r="328" s="8" customFormat="1" x14ac:dyDescent="0.2"/>
    <row r="329" s="8" customFormat="1" x14ac:dyDescent="0.2"/>
    <row r="330" s="8" customFormat="1" x14ac:dyDescent="0.2"/>
    <row r="331" s="8" customFormat="1" x14ac:dyDescent="0.2"/>
    <row r="332" s="8" customFormat="1" x14ac:dyDescent="0.2"/>
    <row r="333" s="8" customFormat="1" x14ac:dyDescent="0.2"/>
    <row r="334" s="8" customFormat="1" x14ac:dyDescent="0.2"/>
    <row r="335" s="8" customFormat="1" x14ac:dyDescent="0.2"/>
    <row r="336" s="8" customFormat="1" x14ac:dyDescent="0.2"/>
    <row r="337" s="8" customFormat="1" x14ac:dyDescent="0.2"/>
    <row r="338" s="8" customFormat="1" x14ac:dyDescent="0.2"/>
    <row r="339" s="8" customFormat="1" x14ac:dyDescent="0.2"/>
    <row r="340" s="8" customFormat="1" x14ac:dyDescent="0.2"/>
    <row r="341" s="8" customFormat="1" x14ac:dyDescent="0.2"/>
    <row r="342" s="8" customFormat="1" x14ac:dyDescent="0.2"/>
    <row r="343" s="8" customFormat="1" x14ac:dyDescent="0.2"/>
    <row r="344" s="8" customFormat="1" x14ac:dyDescent="0.2"/>
    <row r="345" s="8" customFormat="1" x14ac:dyDescent="0.2"/>
    <row r="346" s="8" customFormat="1" x14ac:dyDescent="0.2"/>
    <row r="347" s="8" customFormat="1" x14ac:dyDescent="0.2"/>
    <row r="348" s="8" customFormat="1" x14ac:dyDescent="0.2"/>
    <row r="349" s="8" customFormat="1" x14ac:dyDescent="0.2"/>
    <row r="350" s="8" customFormat="1" x14ac:dyDescent="0.2"/>
    <row r="351" s="8" customFormat="1" x14ac:dyDescent="0.2"/>
    <row r="352" s="8" customFormat="1" x14ac:dyDescent="0.2"/>
    <row r="353" s="8" customFormat="1" x14ac:dyDescent="0.2"/>
    <row r="354" s="8" customFormat="1" x14ac:dyDescent="0.2"/>
    <row r="355" s="8" customFormat="1" x14ac:dyDescent="0.2"/>
    <row r="356" s="8" customFormat="1" x14ac:dyDescent="0.2"/>
    <row r="357" s="8" customFormat="1" x14ac:dyDescent="0.2"/>
    <row r="358" s="8" customFormat="1" x14ac:dyDescent="0.2"/>
    <row r="359" s="8" customFormat="1" x14ac:dyDescent="0.2"/>
    <row r="360" s="8" customFormat="1" x14ac:dyDescent="0.2"/>
    <row r="361" s="8" customFormat="1" x14ac:dyDescent="0.2"/>
    <row r="362" s="8" customFormat="1" x14ac:dyDescent="0.2"/>
    <row r="363" s="8" customFormat="1" x14ac:dyDescent="0.2"/>
    <row r="364" s="8" customFormat="1" x14ac:dyDescent="0.2"/>
    <row r="365" s="8" customFormat="1" x14ac:dyDescent="0.2"/>
    <row r="366" s="8" customFormat="1" x14ac:dyDescent="0.2"/>
    <row r="367" s="8" customFormat="1" x14ac:dyDescent="0.2"/>
    <row r="368" s="8" customFormat="1" x14ac:dyDescent="0.2"/>
    <row r="369" s="8" customFormat="1" x14ac:dyDescent="0.2"/>
    <row r="370" s="8" customFormat="1" x14ac:dyDescent="0.2"/>
    <row r="371" s="8" customFormat="1" x14ac:dyDescent="0.2"/>
    <row r="372" s="8" customFormat="1" x14ac:dyDescent="0.2"/>
    <row r="373" s="8" customFormat="1" x14ac:dyDescent="0.2"/>
    <row r="374" s="8" customFormat="1" x14ac:dyDescent="0.2"/>
    <row r="375" s="8" customFormat="1" x14ac:dyDescent="0.2"/>
    <row r="376" s="8" customFormat="1" x14ac:dyDescent="0.2"/>
    <row r="377" s="8" customFormat="1" x14ac:dyDescent="0.2"/>
    <row r="378" s="8" customFormat="1" x14ac:dyDescent="0.2"/>
    <row r="379" s="8" customFormat="1" x14ac:dyDescent="0.2"/>
    <row r="380" s="8" customFormat="1" x14ac:dyDescent="0.2"/>
    <row r="381" s="8" customFormat="1" x14ac:dyDescent="0.2"/>
    <row r="382" s="8" customFormat="1" x14ac:dyDescent="0.2"/>
    <row r="383" s="8" customFormat="1" x14ac:dyDescent="0.2"/>
    <row r="384" s="8" customFormat="1" x14ac:dyDescent="0.2"/>
    <row r="385" s="8" customFormat="1" x14ac:dyDescent="0.2"/>
    <row r="386" s="8" customFormat="1" x14ac:dyDescent="0.2"/>
    <row r="387" s="8" customFormat="1" x14ac:dyDescent="0.2"/>
    <row r="388" s="8" customFormat="1" x14ac:dyDescent="0.2"/>
    <row r="389" s="8" customFormat="1" x14ac:dyDescent="0.2"/>
    <row r="390" s="8" customFormat="1" x14ac:dyDescent="0.2"/>
    <row r="391" s="8" customFormat="1" x14ac:dyDescent="0.2"/>
    <row r="392" s="8" customFormat="1" x14ac:dyDescent="0.2"/>
    <row r="393" s="8" customFormat="1" x14ac:dyDescent="0.2"/>
    <row r="394" s="8" customFormat="1" x14ac:dyDescent="0.2"/>
    <row r="395" s="8" customFormat="1" x14ac:dyDescent="0.2"/>
    <row r="396" s="8" customFormat="1" x14ac:dyDescent="0.2"/>
    <row r="397" s="8" customFormat="1" x14ac:dyDescent="0.2"/>
    <row r="398" s="8" customFormat="1" x14ac:dyDescent="0.2"/>
    <row r="399" s="8" customFormat="1" x14ac:dyDescent="0.2"/>
    <row r="400" s="8" customFormat="1" x14ac:dyDescent="0.2"/>
    <row r="401" s="8" customFormat="1" x14ac:dyDescent="0.2"/>
    <row r="402" s="8" customFormat="1" x14ac:dyDescent="0.2"/>
    <row r="403" s="8" customFormat="1" x14ac:dyDescent="0.2"/>
    <row r="404" s="8" customFormat="1" x14ac:dyDescent="0.2"/>
    <row r="405" s="8" customFormat="1" x14ac:dyDescent="0.2"/>
    <row r="406" s="8" customFormat="1" x14ac:dyDescent="0.2"/>
    <row r="407" s="8" customFormat="1" x14ac:dyDescent="0.2"/>
    <row r="408" s="8" customFormat="1" x14ac:dyDescent="0.2"/>
    <row r="409" s="8" customFormat="1" x14ac:dyDescent="0.2"/>
    <row r="410" s="8" customFormat="1" x14ac:dyDescent="0.2"/>
    <row r="411" s="8" customFormat="1" x14ac:dyDescent="0.2"/>
    <row r="412" s="8" customFormat="1" x14ac:dyDescent="0.2"/>
    <row r="413" s="8" customFormat="1" x14ac:dyDescent="0.2"/>
    <row r="414" s="8" customFormat="1" x14ac:dyDescent="0.2"/>
    <row r="415" s="8" customFormat="1" x14ac:dyDescent="0.2"/>
    <row r="416" s="8" customFormat="1" x14ac:dyDescent="0.2"/>
    <row r="417" s="8" customFormat="1" x14ac:dyDescent="0.2"/>
    <row r="418" s="8" customFormat="1" x14ac:dyDescent="0.2"/>
    <row r="419" s="8" customFormat="1" x14ac:dyDescent="0.2"/>
    <row r="420" s="8" customFormat="1" x14ac:dyDescent="0.2"/>
    <row r="421" s="8" customFormat="1" x14ac:dyDescent="0.2"/>
    <row r="422" s="8" customFormat="1" x14ac:dyDescent="0.2"/>
    <row r="423" s="8" customFormat="1" x14ac:dyDescent="0.2"/>
    <row r="424" s="8" customFormat="1" x14ac:dyDescent="0.2"/>
    <row r="425" s="8" customFormat="1" x14ac:dyDescent="0.2"/>
    <row r="426" s="8" customFormat="1" x14ac:dyDescent="0.2"/>
    <row r="427" s="8" customFormat="1" x14ac:dyDescent="0.2"/>
    <row r="428" s="8" customFormat="1" x14ac:dyDescent="0.2"/>
    <row r="429" s="8" customFormat="1" x14ac:dyDescent="0.2"/>
    <row r="430" s="8" customFormat="1" x14ac:dyDescent="0.2"/>
    <row r="431" s="8" customFormat="1" x14ac:dyDescent="0.2"/>
    <row r="432" s="8" customFormat="1" x14ac:dyDescent="0.2"/>
    <row r="433" s="8" customFormat="1" x14ac:dyDescent="0.2"/>
    <row r="434" s="8" customFormat="1" x14ac:dyDescent="0.2"/>
    <row r="435" s="8" customFormat="1" x14ac:dyDescent="0.2"/>
    <row r="436" s="8" customFormat="1" x14ac:dyDescent="0.2"/>
    <row r="437" s="8" customFormat="1" x14ac:dyDescent="0.2"/>
    <row r="438" s="8" customFormat="1" x14ac:dyDescent="0.2"/>
    <row r="439" s="8" customFormat="1" x14ac:dyDescent="0.2"/>
    <row r="440" s="8" customFormat="1" x14ac:dyDescent="0.2"/>
    <row r="441" s="8" customFormat="1" x14ac:dyDescent="0.2"/>
    <row r="442" s="8" customFormat="1" x14ac:dyDescent="0.2"/>
    <row r="443" s="8" customFormat="1" x14ac:dyDescent="0.2"/>
    <row r="444" s="8" customFormat="1" x14ac:dyDescent="0.2"/>
    <row r="445" s="8" customFormat="1" x14ac:dyDescent="0.2"/>
    <row r="446" s="8" customFormat="1" x14ac:dyDescent="0.2"/>
    <row r="447" s="8" customFormat="1" x14ac:dyDescent="0.2"/>
    <row r="448" s="8" customFormat="1" x14ac:dyDescent="0.2"/>
    <row r="449" s="8" customFormat="1" x14ac:dyDescent="0.2"/>
    <row r="450" s="8" customFormat="1" x14ac:dyDescent="0.2"/>
    <row r="451" s="8" customFormat="1" x14ac:dyDescent="0.2"/>
    <row r="452" s="8" customFormat="1" x14ac:dyDescent="0.2"/>
    <row r="453" s="8" customFormat="1" x14ac:dyDescent="0.2"/>
    <row r="454" s="8" customFormat="1" x14ac:dyDescent="0.2"/>
    <row r="455" s="8" customFormat="1" x14ac:dyDescent="0.2"/>
    <row r="456" s="8" customFormat="1" x14ac:dyDescent="0.2"/>
    <row r="457" s="8" customFormat="1" x14ac:dyDescent="0.2"/>
    <row r="458" s="8" customFormat="1" x14ac:dyDescent="0.2"/>
    <row r="459" s="8" customFormat="1" x14ac:dyDescent="0.2"/>
    <row r="460" s="8" customFormat="1" x14ac:dyDescent="0.2"/>
    <row r="461" s="8" customFormat="1" x14ac:dyDescent="0.2"/>
    <row r="462" s="8" customFormat="1" x14ac:dyDescent="0.2"/>
    <row r="463" s="8" customFormat="1" x14ac:dyDescent="0.2"/>
    <row r="464" s="8" customFormat="1" x14ac:dyDescent="0.2"/>
    <row r="465" s="8" customFormat="1" x14ac:dyDescent="0.2"/>
    <row r="466" s="8" customFormat="1" x14ac:dyDescent="0.2"/>
    <row r="467" s="8" customFormat="1" x14ac:dyDescent="0.2"/>
    <row r="468" s="8" customFormat="1" x14ac:dyDescent="0.2"/>
    <row r="469" s="8" customFormat="1" x14ac:dyDescent="0.2"/>
    <row r="470" s="8" customFormat="1" x14ac:dyDescent="0.2"/>
    <row r="471" s="8" customFormat="1" x14ac:dyDescent="0.2"/>
    <row r="472" s="8" customFormat="1" x14ac:dyDescent="0.2"/>
    <row r="473" s="8" customFormat="1" x14ac:dyDescent="0.2"/>
    <row r="474" s="8" customFormat="1" x14ac:dyDescent="0.2"/>
    <row r="475" s="8" customFormat="1" x14ac:dyDescent="0.2"/>
    <row r="476" s="8" customFormat="1" x14ac:dyDescent="0.2"/>
    <row r="477" s="8" customFormat="1" x14ac:dyDescent="0.2"/>
    <row r="478" s="8" customFormat="1" x14ac:dyDescent="0.2"/>
    <row r="479" s="8" customFormat="1" x14ac:dyDescent="0.2"/>
    <row r="480" s="8" customFormat="1" x14ac:dyDescent="0.2"/>
    <row r="481" s="8" customFormat="1" x14ac:dyDescent="0.2"/>
    <row r="482" s="8" customFormat="1" x14ac:dyDescent="0.2"/>
    <row r="483" s="8" customFormat="1" x14ac:dyDescent="0.2"/>
    <row r="484" s="8" customFormat="1" x14ac:dyDescent="0.2"/>
    <row r="485" s="8" customFormat="1" x14ac:dyDescent="0.2"/>
    <row r="486" s="8" customFormat="1" x14ac:dyDescent="0.2"/>
    <row r="487" s="8" customFormat="1" x14ac:dyDescent="0.2"/>
    <row r="488" s="8" customFormat="1" x14ac:dyDescent="0.2"/>
    <row r="489" s="8" customFormat="1" x14ac:dyDescent="0.2"/>
    <row r="490" s="8" customFormat="1" x14ac:dyDescent="0.2"/>
    <row r="491" s="8" customFormat="1" x14ac:dyDescent="0.2"/>
    <row r="492" s="8" customFormat="1" x14ac:dyDescent="0.2"/>
    <row r="493" s="8" customFormat="1" x14ac:dyDescent="0.2"/>
    <row r="494" s="8" customFormat="1" x14ac:dyDescent="0.2"/>
    <row r="495" s="8" customFormat="1" x14ac:dyDescent="0.2"/>
    <row r="496" s="8" customFormat="1" x14ac:dyDescent="0.2"/>
    <row r="497" s="8" customFormat="1" x14ac:dyDescent="0.2"/>
    <row r="498" s="8" customFormat="1" x14ac:dyDescent="0.2"/>
    <row r="499" s="8" customFormat="1" x14ac:dyDescent="0.2"/>
    <row r="500" s="8" customFormat="1" x14ac:dyDescent="0.2"/>
    <row r="501" s="8" customFormat="1" x14ac:dyDescent="0.2"/>
    <row r="502" s="8" customFormat="1" x14ac:dyDescent="0.2"/>
    <row r="503" s="8" customFormat="1" x14ac:dyDescent="0.2"/>
    <row r="504" s="8" customFormat="1" x14ac:dyDescent="0.2"/>
    <row r="505" s="8" customFormat="1" x14ac:dyDescent="0.2"/>
    <row r="506" s="8" customFormat="1" x14ac:dyDescent="0.2"/>
    <row r="507" s="8" customFormat="1" x14ac:dyDescent="0.2"/>
    <row r="508" s="8" customFormat="1" x14ac:dyDescent="0.2"/>
    <row r="509" s="8" customFormat="1" x14ac:dyDescent="0.2"/>
    <row r="510" s="8" customFormat="1" x14ac:dyDescent="0.2"/>
    <row r="511" s="8" customFormat="1" x14ac:dyDescent="0.2"/>
    <row r="512" s="8" customFormat="1" x14ac:dyDescent="0.2"/>
    <row r="513" s="8" customFormat="1" x14ac:dyDescent="0.2"/>
    <row r="514" s="8" customFormat="1" x14ac:dyDescent="0.2"/>
    <row r="515" s="8" customFormat="1" x14ac:dyDescent="0.2"/>
    <row r="516" s="8" customFormat="1" x14ac:dyDescent="0.2"/>
    <row r="517" s="8" customFormat="1" x14ac:dyDescent="0.2"/>
    <row r="518" s="8" customFormat="1" x14ac:dyDescent="0.2"/>
    <row r="519" s="8" customFormat="1" x14ac:dyDescent="0.2"/>
    <row r="520" s="8" customFormat="1" x14ac:dyDescent="0.2"/>
    <row r="521" s="8" customFormat="1" x14ac:dyDescent="0.2"/>
    <row r="522" s="8" customFormat="1" x14ac:dyDescent="0.2"/>
    <row r="523" s="8" customFormat="1" x14ac:dyDescent="0.2"/>
    <row r="524" s="8" customFormat="1" x14ac:dyDescent="0.2"/>
    <row r="525" s="8" customFormat="1" x14ac:dyDescent="0.2"/>
    <row r="526" s="8" customFormat="1" x14ac:dyDescent="0.2"/>
    <row r="527" s="8" customFormat="1" x14ac:dyDescent="0.2"/>
    <row r="528" s="8" customFormat="1" x14ac:dyDescent="0.2"/>
    <row r="529" s="8" customFormat="1" x14ac:dyDescent="0.2"/>
    <row r="530" s="8" customFormat="1" x14ac:dyDescent="0.2"/>
    <row r="531" s="8" customFormat="1" x14ac:dyDescent="0.2"/>
    <row r="532" s="8" customFormat="1" x14ac:dyDescent="0.2"/>
    <row r="533" s="8" customFormat="1" x14ac:dyDescent="0.2"/>
    <row r="534" s="8" customFormat="1" x14ac:dyDescent="0.2"/>
    <row r="535" s="8" customFormat="1" x14ac:dyDescent="0.2"/>
    <row r="536" s="8" customFormat="1" x14ac:dyDescent="0.2"/>
    <row r="537" s="8" customFormat="1" x14ac:dyDescent="0.2"/>
    <row r="538" s="8" customFormat="1" x14ac:dyDescent="0.2"/>
    <row r="539" s="8" customFormat="1" x14ac:dyDescent="0.2"/>
    <row r="540" s="8" customFormat="1" x14ac:dyDescent="0.2"/>
    <row r="541" s="8" customFormat="1" x14ac:dyDescent="0.2"/>
  </sheetData>
  <autoFilter ref="E1:E541" xr:uid="{00000000-0001-0000-0000-000000000000}"/>
  <mergeCells count="11">
    <mergeCell ref="A1:F1"/>
    <mergeCell ref="A3:C3"/>
    <mergeCell ref="D3:F3"/>
    <mergeCell ref="J3:K3"/>
    <mergeCell ref="L3:L4"/>
    <mergeCell ref="H3:H4"/>
    <mergeCell ref="O3:O4"/>
    <mergeCell ref="P3:P4"/>
    <mergeCell ref="N3:N4"/>
    <mergeCell ref="M3:M4"/>
    <mergeCell ref="I3:I4"/>
  </mergeCells>
  <phoneticPr fontId="3" type="noConversion"/>
  <conditionalFormatting sqref="M5:N31">
    <cfRule type="containsText" dxfId="27" priority="3" operator="containsText" text="Place Order">
      <formula>NOT(ISERROR(SEARCH("Place Order",M5)))</formula>
    </cfRule>
  </conditionalFormatting>
  <conditionalFormatting sqref="O5:O17">
    <cfRule type="containsText" dxfId="26" priority="1" operator="containsText" text="Place Order">
      <formula>NOT(ISERROR(SEARCH("Place Order",O5)))</formula>
    </cfRule>
  </conditionalFormatting>
  <conditionalFormatting sqref="O5:P19">
    <cfRule type="containsText" dxfId="25" priority="2" operator="containsText" text="Place Order">
      <formula>NOT(ISERROR(SEARCH("Place Order",O5)))</formula>
    </cfRule>
  </conditionalFormatting>
  <dataValidations count="1">
    <dataValidation type="list" allowBlank="1" showInputMessage="1" showErrorMessage="1" sqref="B5:B31 E5:E46" xr:uid="{00000000-0002-0000-0000-000000000000}">
      <formula1>$J$5:$J$31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1583-D268-CF4F-BB56-30C8965E0E6B}">
  <dimension ref="A1:W41"/>
  <sheetViews>
    <sheetView tabSelected="1" topLeftCell="E1" zoomScale="160" zoomScaleNormal="160" workbookViewId="0">
      <pane ySplit="4" topLeftCell="A7" activePane="bottomLeft" state="frozen"/>
      <selection activeCell="S22" sqref="S22"/>
      <selection pane="bottomLeft" activeCell="K7" sqref="K7"/>
    </sheetView>
  </sheetViews>
  <sheetFormatPr baseColWidth="10" defaultColWidth="9.1640625" defaultRowHeight="14" x14ac:dyDescent="0.2"/>
  <cols>
    <col min="1" max="1" width="9.83203125" style="1" bestFit="1" customWidth="1"/>
    <col min="2" max="2" width="18" style="1" bestFit="1" customWidth="1"/>
    <col min="3" max="3" width="9.5" style="1" bestFit="1" customWidth="1"/>
    <col min="4" max="4" width="10.1640625" style="1" bestFit="1" customWidth="1"/>
    <col min="5" max="5" width="17.1640625" style="1" customWidth="1"/>
    <col min="6" max="6" width="8.83203125" style="1" customWidth="1"/>
    <col min="7" max="7" width="3.5" style="1" customWidth="1"/>
    <col min="8" max="8" width="17.1640625" style="1" bestFit="1" customWidth="1"/>
    <col min="9" max="9" width="9.5" style="1" customWidth="1"/>
    <col min="10" max="10" width="18" style="1" bestFit="1" customWidth="1"/>
    <col min="11" max="11" width="11.5" style="1" bestFit="1" customWidth="1"/>
    <col min="12" max="12" width="10.5" style="1" customWidth="1"/>
    <col min="13" max="13" width="12.33203125" style="1" customWidth="1"/>
    <col min="14" max="14" width="7.5" style="1" bestFit="1" customWidth="1"/>
    <col min="15" max="15" width="5.83203125" style="1" customWidth="1"/>
    <col min="16" max="16" width="13" style="1" bestFit="1" customWidth="1"/>
    <col min="17" max="17" width="9.1640625" style="1"/>
    <col min="18" max="18" width="9.5" style="1" bestFit="1" customWidth="1"/>
    <col min="19" max="19" width="10" style="1" bestFit="1" customWidth="1"/>
    <col min="20" max="22" width="9.1640625" style="1"/>
    <col min="23" max="23" width="11.33203125" style="1" bestFit="1" customWidth="1"/>
    <col min="24" max="16384" width="9.1640625" style="1"/>
  </cols>
  <sheetData>
    <row r="1" spans="1:23" x14ac:dyDescent="0.2">
      <c r="A1" s="78" t="s">
        <v>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O1" s="7"/>
      <c r="P1" s="7"/>
      <c r="Q1" s="8" t="s">
        <v>15</v>
      </c>
      <c r="R1" s="9" t="s">
        <v>11</v>
      </c>
      <c r="S1" s="9" t="s">
        <v>11</v>
      </c>
      <c r="T1" s="5"/>
      <c r="U1" s="5"/>
      <c r="V1" s="5"/>
    </row>
    <row r="2" spans="1:23" x14ac:dyDescent="0.2">
      <c r="A2" s="10" t="s">
        <v>647</v>
      </c>
      <c r="B2" s="8"/>
      <c r="C2" s="8" t="s">
        <v>0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3" ht="14" customHeight="1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98" t="s">
        <v>21</v>
      </c>
      <c r="I3" s="97" t="s">
        <v>12</v>
      </c>
      <c r="J3" s="85" t="s">
        <v>10</v>
      </c>
      <c r="K3" s="85"/>
      <c r="L3" s="97" t="s">
        <v>13</v>
      </c>
      <c r="M3" s="97" t="s">
        <v>3</v>
      </c>
      <c r="N3" s="97" t="s">
        <v>32</v>
      </c>
      <c r="O3" s="97" t="s">
        <v>253</v>
      </c>
      <c r="P3" s="97" t="s">
        <v>254</v>
      </c>
      <c r="Q3" s="10" t="s">
        <v>14</v>
      </c>
      <c r="R3" s="8"/>
      <c r="S3" s="8"/>
    </row>
    <row r="4" spans="1:23" ht="18" customHeight="1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98"/>
      <c r="I4" s="97"/>
      <c r="J4" s="14" t="s">
        <v>2</v>
      </c>
      <c r="K4" s="14" t="s">
        <v>1</v>
      </c>
      <c r="L4" s="97"/>
      <c r="M4" s="97"/>
      <c r="N4" s="97"/>
      <c r="O4" s="97"/>
      <c r="P4" s="97"/>
      <c r="Q4" s="8"/>
      <c r="R4" s="15">
        <v>45320</v>
      </c>
      <c r="S4" s="15"/>
      <c r="T4" s="15"/>
      <c r="U4" s="15"/>
      <c r="V4" s="15"/>
      <c r="W4" s="15" t="s">
        <v>6</v>
      </c>
    </row>
    <row r="5" spans="1:23" x14ac:dyDescent="0.2">
      <c r="A5" s="16">
        <v>45782</v>
      </c>
      <c r="B5" s="17" t="s">
        <v>22</v>
      </c>
      <c r="C5" s="17">
        <v>0.25</v>
      </c>
      <c r="D5" s="16">
        <v>45779</v>
      </c>
      <c r="E5" s="17" t="s">
        <v>26</v>
      </c>
      <c r="F5" s="18">
        <v>14</v>
      </c>
      <c r="G5" s="17"/>
      <c r="H5" s="17" t="s">
        <v>181</v>
      </c>
      <c r="I5" s="17">
        <v>10582.85</v>
      </c>
      <c r="J5" s="17" t="s">
        <v>25</v>
      </c>
      <c r="K5" s="17">
        <f t="shared" ref="K5:K23" si="0">I5+SUMIF($B$5:$B$167,J5,$C$5:$C$167)-SUMIF($E$5:$E$167,J5,$F$5:$F$167)</f>
        <v>9337.85</v>
      </c>
      <c r="L5" s="17">
        <v>2000</v>
      </c>
      <c r="M5" s="17" t="str">
        <f t="shared" ref="M5:M22" si="1">IF((K5+W5)&lt;L5,"Place Order","")</f>
        <v/>
      </c>
      <c r="N5" s="17" t="s">
        <v>34</v>
      </c>
      <c r="O5" s="17">
        <v>0</v>
      </c>
      <c r="P5" s="40">
        <f>K5*O5</f>
        <v>0</v>
      </c>
      <c r="Q5" s="33"/>
      <c r="R5" s="17"/>
      <c r="S5" s="17"/>
      <c r="T5" s="2"/>
      <c r="U5" s="2"/>
      <c r="V5" s="2"/>
      <c r="W5" s="17">
        <f>SUMIF($R$1:$V$1,"T",R5:V5)</f>
        <v>0</v>
      </c>
    </row>
    <row r="6" spans="1:23" x14ac:dyDescent="0.2">
      <c r="A6" s="16">
        <v>45797</v>
      </c>
      <c r="B6" s="17" t="s">
        <v>26</v>
      </c>
      <c r="C6" s="17">
        <v>8000</v>
      </c>
      <c r="D6" s="16">
        <v>45779</v>
      </c>
      <c r="E6" s="17" t="s">
        <v>24</v>
      </c>
      <c r="F6" s="17">
        <v>15</v>
      </c>
      <c r="G6" s="17"/>
      <c r="H6" s="17" t="s">
        <v>182</v>
      </c>
      <c r="I6" s="17">
        <v>1601.5</v>
      </c>
      <c r="J6" s="17" t="s">
        <v>26</v>
      </c>
      <c r="K6" s="17">
        <f t="shared" si="0"/>
        <v>9377.5</v>
      </c>
      <c r="L6" s="17">
        <v>3000</v>
      </c>
      <c r="M6" s="17" t="str">
        <f t="shared" si="1"/>
        <v/>
      </c>
      <c r="N6" s="17" t="s">
        <v>34</v>
      </c>
      <c r="O6" s="17">
        <v>172</v>
      </c>
      <c r="P6" s="40">
        <f t="shared" ref="P6:P23" si="2">K6*O6</f>
        <v>1612930</v>
      </c>
      <c r="Q6" s="8"/>
      <c r="R6" s="17"/>
      <c r="S6" s="17"/>
      <c r="T6" s="2"/>
      <c r="U6" s="2"/>
      <c r="V6" s="2"/>
      <c r="W6" s="17">
        <f t="shared" ref="W6:W20" si="3">SUMIF($R$1:$V$1,"T",R6:V6)</f>
        <v>0</v>
      </c>
    </row>
    <row r="7" spans="1:23" x14ac:dyDescent="0.2">
      <c r="A7" s="16">
        <v>45800</v>
      </c>
      <c r="B7" s="17" t="s">
        <v>24</v>
      </c>
      <c r="C7" s="17">
        <v>2500</v>
      </c>
      <c r="D7" s="16">
        <v>45779</v>
      </c>
      <c r="E7" s="17" t="s">
        <v>25</v>
      </c>
      <c r="F7" s="17">
        <v>70</v>
      </c>
      <c r="G7" s="17"/>
      <c r="H7" s="17" t="s">
        <v>183</v>
      </c>
      <c r="I7" s="17">
        <v>491</v>
      </c>
      <c r="J7" s="17" t="s">
        <v>24</v>
      </c>
      <c r="K7" s="17" t="s">
        <v>67</v>
      </c>
      <c r="L7" s="17">
        <v>2000</v>
      </c>
      <c r="M7" s="17" t="e">
        <f t="shared" si="1"/>
        <v>#VALUE!</v>
      </c>
      <c r="N7" s="17" t="s">
        <v>34</v>
      </c>
      <c r="O7" s="17">
        <v>170</v>
      </c>
      <c r="P7" s="40" t="e">
        <f t="shared" si="2"/>
        <v>#VALUE!</v>
      </c>
      <c r="Q7" s="8"/>
      <c r="R7" s="17"/>
      <c r="S7" s="17"/>
      <c r="T7" s="2"/>
      <c r="U7" s="2"/>
      <c r="V7" s="2"/>
      <c r="W7" s="17">
        <f t="shared" si="3"/>
        <v>0</v>
      </c>
    </row>
    <row r="8" spans="1:23" x14ac:dyDescent="0.2">
      <c r="A8" s="16"/>
      <c r="B8" s="17"/>
      <c r="C8" s="17"/>
      <c r="D8" s="16">
        <v>45780</v>
      </c>
      <c r="E8" s="17" t="s">
        <v>25</v>
      </c>
      <c r="F8" s="17">
        <v>337.5</v>
      </c>
      <c r="G8" s="17"/>
      <c r="H8" s="17" t="s">
        <v>184</v>
      </c>
      <c r="I8" s="17">
        <v>0</v>
      </c>
      <c r="J8" s="17" t="s">
        <v>40</v>
      </c>
      <c r="K8" s="17">
        <f t="shared" si="0"/>
        <v>0</v>
      </c>
      <c r="L8" s="17">
        <v>500</v>
      </c>
      <c r="M8" s="17" t="str">
        <f t="shared" si="1"/>
        <v>Place Order</v>
      </c>
      <c r="N8" s="17" t="s">
        <v>34</v>
      </c>
      <c r="O8" s="17"/>
      <c r="P8" s="40">
        <f t="shared" si="2"/>
        <v>0</v>
      </c>
      <c r="Q8" s="8"/>
      <c r="R8" s="17"/>
      <c r="S8" s="17"/>
      <c r="T8" s="2"/>
      <c r="U8" s="2"/>
      <c r="V8" s="2"/>
      <c r="W8" s="17">
        <f t="shared" si="3"/>
        <v>0</v>
      </c>
    </row>
    <row r="9" spans="1:23" x14ac:dyDescent="0.2">
      <c r="A9" s="16"/>
      <c r="B9" s="17"/>
      <c r="C9" s="17"/>
      <c r="D9" s="16">
        <v>45780</v>
      </c>
      <c r="E9" s="17" t="s">
        <v>26</v>
      </c>
      <c r="F9" s="17">
        <v>67.5</v>
      </c>
      <c r="G9" s="17"/>
      <c r="H9" s="17" t="s">
        <v>185</v>
      </c>
      <c r="I9" s="17">
        <v>0</v>
      </c>
      <c r="J9" s="17" t="s">
        <v>180</v>
      </c>
      <c r="K9" s="17">
        <f t="shared" si="0"/>
        <v>0</v>
      </c>
      <c r="L9" s="17">
        <v>500</v>
      </c>
      <c r="M9" s="17" t="str">
        <f t="shared" si="1"/>
        <v>Place Order</v>
      </c>
      <c r="N9" s="17" t="s">
        <v>34</v>
      </c>
      <c r="O9" s="17"/>
      <c r="P9" s="40">
        <f t="shared" si="2"/>
        <v>0</v>
      </c>
      <c r="Q9" s="8"/>
      <c r="R9" s="17"/>
      <c r="S9" s="17"/>
      <c r="T9" s="2"/>
      <c r="U9" s="2"/>
      <c r="V9" s="2"/>
      <c r="W9" s="17">
        <f t="shared" si="3"/>
        <v>0</v>
      </c>
    </row>
    <row r="10" spans="1:23" x14ac:dyDescent="0.2">
      <c r="A10" s="16"/>
      <c r="B10" s="17"/>
      <c r="C10" s="17"/>
      <c r="D10" s="16">
        <v>45780</v>
      </c>
      <c r="E10" s="17" t="s">
        <v>24</v>
      </c>
      <c r="F10" s="17">
        <v>94.5</v>
      </c>
      <c r="G10" s="17"/>
      <c r="H10" s="17" t="s">
        <v>186</v>
      </c>
      <c r="I10" s="17">
        <v>0</v>
      </c>
      <c r="J10" s="17" t="s">
        <v>29</v>
      </c>
      <c r="K10" s="17">
        <f t="shared" si="0"/>
        <v>0</v>
      </c>
      <c r="L10" s="17">
        <v>100</v>
      </c>
      <c r="M10" s="17" t="str">
        <f t="shared" si="1"/>
        <v>Place Order</v>
      </c>
      <c r="N10" s="17" t="s">
        <v>34</v>
      </c>
      <c r="O10" s="17"/>
      <c r="P10" s="40">
        <f t="shared" si="2"/>
        <v>0</v>
      </c>
      <c r="Q10" s="8"/>
      <c r="R10" s="17"/>
      <c r="S10" s="17"/>
      <c r="T10" s="2"/>
      <c r="U10" s="2"/>
      <c r="V10" s="2"/>
      <c r="W10" s="17">
        <f t="shared" si="3"/>
        <v>0</v>
      </c>
    </row>
    <row r="11" spans="1:23" x14ac:dyDescent="0.2">
      <c r="A11" s="16"/>
      <c r="B11" s="17"/>
      <c r="C11" s="17"/>
      <c r="D11" s="16">
        <v>45783</v>
      </c>
      <c r="E11" s="17" t="s">
        <v>26</v>
      </c>
      <c r="F11" s="17">
        <v>17.5</v>
      </c>
      <c r="G11" s="17"/>
      <c r="H11" s="17" t="s">
        <v>187</v>
      </c>
      <c r="I11" s="17">
        <v>0</v>
      </c>
      <c r="J11" s="17" t="s">
        <v>36</v>
      </c>
      <c r="K11" s="17">
        <f t="shared" si="0"/>
        <v>0</v>
      </c>
      <c r="L11" s="17">
        <v>100</v>
      </c>
      <c r="M11" s="17" t="str">
        <f t="shared" si="1"/>
        <v>Place Order</v>
      </c>
      <c r="N11" s="17" t="s">
        <v>34</v>
      </c>
      <c r="O11" s="17"/>
      <c r="P11" s="40">
        <f t="shared" si="2"/>
        <v>0</v>
      </c>
      <c r="Q11" s="8"/>
      <c r="R11" s="17"/>
      <c r="S11" s="17"/>
      <c r="T11" s="2"/>
      <c r="U11" s="2"/>
      <c r="V11" s="2"/>
      <c r="W11" s="17">
        <f t="shared" si="3"/>
        <v>0</v>
      </c>
    </row>
    <row r="12" spans="1:23" x14ac:dyDescent="0.2">
      <c r="A12" s="16"/>
      <c r="B12" s="17"/>
      <c r="C12" s="17"/>
      <c r="D12" s="16">
        <v>45783</v>
      </c>
      <c r="E12" s="17" t="s">
        <v>25</v>
      </c>
      <c r="F12" s="17">
        <v>87.5</v>
      </c>
      <c r="G12" s="17"/>
      <c r="H12" s="17" t="s">
        <v>188</v>
      </c>
      <c r="I12" s="17">
        <v>0</v>
      </c>
      <c r="J12" s="17" t="s">
        <v>23</v>
      </c>
      <c r="K12" s="17">
        <f t="shared" si="0"/>
        <v>0</v>
      </c>
      <c r="L12" s="17">
        <v>100</v>
      </c>
      <c r="M12" s="17" t="str">
        <f t="shared" si="1"/>
        <v>Place Order</v>
      </c>
      <c r="N12" s="17" t="s">
        <v>34</v>
      </c>
      <c r="O12" s="17">
        <v>240</v>
      </c>
      <c r="P12" s="40">
        <f t="shared" si="2"/>
        <v>0</v>
      </c>
      <c r="Q12" s="8"/>
      <c r="R12" s="17"/>
      <c r="S12" s="17"/>
      <c r="T12" s="2"/>
      <c r="U12" s="2"/>
      <c r="V12" s="2"/>
      <c r="W12" s="17">
        <f t="shared" si="3"/>
        <v>0</v>
      </c>
    </row>
    <row r="13" spans="1:23" x14ac:dyDescent="0.2">
      <c r="A13" s="16"/>
      <c r="B13" s="17"/>
      <c r="C13" s="17"/>
      <c r="D13" s="16">
        <v>45783</v>
      </c>
      <c r="E13" s="17" t="s">
        <v>24</v>
      </c>
      <c r="F13" s="17">
        <v>24.5</v>
      </c>
      <c r="G13" s="17"/>
      <c r="H13" s="17" t="s">
        <v>189</v>
      </c>
      <c r="I13" s="17">
        <v>8</v>
      </c>
      <c r="J13" s="17" t="s">
        <v>31</v>
      </c>
      <c r="K13" s="17">
        <f t="shared" si="0"/>
        <v>8</v>
      </c>
      <c r="L13" s="17">
        <v>10000</v>
      </c>
      <c r="M13" s="17" t="str">
        <f t="shared" si="1"/>
        <v>Place Order</v>
      </c>
      <c r="N13" s="17" t="s">
        <v>35</v>
      </c>
      <c r="O13" s="17">
        <v>1968</v>
      </c>
      <c r="P13" s="40">
        <f t="shared" si="2"/>
        <v>15744</v>
      </c>
      <c r="Q13" s="8"/>
      <c r="R13" s="17"/>
      <c r="S13" s="17"/>
      <c r="T13" s="2"/>
      <c r="U13" s="2"/>
      <c r="V13" s="2"/>
      <c r="W13" s="17">
        <f>SUMIF($R$1:$V$1,"T",R13:V13)</f>
        <v>0</v>
      </c>
    </row>
    <row r="14" spans="1:23" x14ac:dyDescent="0.2">
      <c r="A14" s="16"/>
      <c r="B14" s="17"/>
      <c r="C14" s="17"/>
      <c r="D14" s="16">
        <v>45786</v>
      </c>
      <c r="E14" s="17" t="s">
        <v>26</v>
      </c>
      <c r="F14" s="17">
        <v>67.5</v>
      </c>
      <c r="G14" s="17"/>
      <c r="H14" s="17" t="s">
        <v>190</v>
      </c>
      <c r="I14" s="17">
        <v>0</v>
      </c>
      <c r="J14" s="17" t="s">
        <v>179</v>
      </c>
      <c r="K14" s="17">
        <f t="shared" si="0"/>
        <v>0</v>
      </c>
      <c r="L14" s="17">
        <v>500</v>
      </c>
      <c r="M14" s="17" t="str">
        <f t="shared" si="1"/>
        <v>Place Order</v>
      </c>
      <c r="N14" s="17" t="s">
        <v>34</v>
      </c>
      <c r="O14" s="17">
        <v>300</v>
      </c>
      <c r="P14" s="40">
        <f t="shared" si="2"/>
        <v>0</v>
      </c>
      <c r="Q14" s="8"/>
      <c r="R14" s="17"/>
      <c r="S14" s="17"/>
      <c r="T14" s="2"/>
      <c r="U14" s="2"/>
      <c r="V14" s="2"/>
      <c r="W14" s="17">
        <f t="shared" si="3"/>
        <v>0</v>
      </c>
    </row>
    <row r="15" spans="1:23" x14ac:dyDescent="0.2">
      <c r="A15" s="16"/>
      <c r="B15" s="17"/>
      <c r="C15" s="17"/>
      <c r="D15" s="16">
        <v>45786</v>
      </c>
      <c r="E15" s="17" t="s">
        <v>24</v>
      </c>
      <c r="F15" s="17">
        <v>94.5</v>
      </c>
      <c r="G15" s="17"/>
      <c r="H15" s="17" t="s">
        <v>191</v>
      </c>
      <c r="I15" s="17">
        <v>0</v>
      </c>
      <c r="J15" s="17" t="s">
        <v>30</v>
      </c>
      <c r="K15" s="17">
        <f t="shared" si="0"/>
        <v>0</v>
      </c>
      <c r="L15" s="17">
        <v>200</v>
      </c>
      <c r="M15" s="17" t="str">
        <f t="shared" si="1"/>
        <v>Place Order</v>
      </c>
      <c r="N15" s="17" t="s">
        <v>34</v>
      </c>
      <c r="O15" s="17"/>
      <c r="P15" s="40">
        <f t="shared" si="2"/>
        <v>0</v>
      </c>
      <c r="Q15" s="8"/>
      <c r="R15" s="17"/>
      <c r="S15" s="17"/>
      <c r="T15" s="2"/>
      <c r="U15" s="2"/>
      <c r="V15" s="2"/>
      <c r="W15" s="17">
        <f t="shared" si="3"/>
        <v>0</v>
      </c>
    </row>
    <row r="16" spans="1:23" x14ac:dyDescent="0.2">
      <c r="A16" s="16"/>
      <c r="B16" s="17"/>
      <c r="C16" s="17"/>
      <c r="D16" s="16">
        <v>45786</v>
      </c>
      <c r="E16" s="17" t="s">
        <v>25</v>
      </c>
      <c r="F16" s="17">
        <v>405</v>
      </c>
      <c r="G16" s="17"/>
      <c r="H16" s="17" t="s">
        <v>192</v>
      </c>
      <c r="I16" s="17">
        <v>160</v>
      </c>
      <c r="J16" s="17" t="s">
        <v>39</v>
      </c>
      <c r="K16" s="17">
        <f t="shared" si="0"/>
        <v>160</v>
      </c>
      <c r="L16" s="17">
        <v>1000</v>
      </c>
      <c r="M16" s="17" t="str">
        <f t="shared" si="1"/>
        <v>Place Order</v>
      </c>
      <c r="N16" s="17" t="s">
        <v>34</v>
      </c>
      <c r="O16" s="17">
        <v>12.5</v>
      </c>
      <c r="P16" s="40">
        <f t="shared" si="2"/>
        <v>2000</v>
      </c>
      <c r="Q16" s="8"/>
      <c r="R16" s="17"/>
      <c r="S16" s="17"/>
      <c r="T16" s="2"/>
      <c r="U16" s="2"/>
      <c r="V16" s="2"/>
      <c r="W16" s="17">
        <f t="shared" si="3"/>
        <v>0</v>
      </c>
    </row>
    <row r="17" spans="1:23" x14ac:dyDescent="0.2">
      <c r="A17" s="16"/>
      <c r="B17" s="17"/>
      <c r="C17" s="17"/>
      <c r="D17" s="16">
        <v>45787</v>
      </c>
      <c r="E17" s="17" t="s">
        <v>26</v>
      </c>
      <c r="F17" s="17">
        <v>30</v>
      </c>
      <c r="G17" s="17"/>
      <c r="H17" s="17" t="s">
        <v>193</v>
      </c>
      <c r="I17" s="17">
        <v>1</v>
      </c>
      <c r="J17" s="17" t="s">
        <v>22</v>
      </c>
      <c r="K17" s="17">
        <f t="shared" si="0"/>
        <v>1.25</v>
      </c>
      <c r="L17" s="17">
        <v>5</v>
      </c>
      <c r="M17" s="17" t="str">
        <f t="shared" si="1"/>
        <v>Place Order</v>
      </c>
      <c r="N17" s="17" t="s">
        <v>33</v>
      </c>
      <c r="O17" s="17">
        <v>85000</v>
      </c>
      <c r="P17" s="40">
        <f>K17*O17</f>
        <v>106250</v>
      </c>
      <c r="Q17" s="8"/>
      <c r="R17" s="17"/>
      <c r="S17" s="17"/>
      <c r="T17" s="2"/>
      <c r="U17" s="2"/>
      <c r="V17" s="2"/>
      <c r="W17" s="17">
        <f t="shared" si="3"/>
        <v>0</v>
      </c>
    </row>
    <row r="18" spans="1:23" x14ac:dyDescent="0.2">
      <c r="A18" s="16"/>
      <c r="B18" s="17"/>
      <c r="C18" s="17"/>
      <c r="D18" s="16">
        <v>45787</v>
      </c>
      <c r="E18" s="17" t="s">
        <v>25</v>
      </c>
      <c r="F18" s="17">
        <v>180</v>
      </c>
      <c r="G18" s="17"/>
      <c r="H18" s="17" t="s">
        <v>194</v>
      </c>
      <c r="I18" s="17">
        <v>0</v>
      </c>
      <c r="J18" s="17" t="s">
        <v>38</v>
      </c>
      <c r="K18" s="17">
        <f t="shared" si="0"/>
        <v>0</v>
      </c>
      <c r="L18" s="17">
        <v>5000</v>
      </c>
      <c r="M18" s="17" t="str">
        <f t="shared" si="1"/>
        <v>Place Order</v>
      </c>
      <c r="N18" s="17" t="s">
        <v>37</v>
      </c>
      <c r="O18" s="17"/>
      <c r="P18" s="40">
        <f t="shared" si="2"/>
        <v>0</v>
      </c>
      <c r="Q18" s="8"/>
      <c r="R18" s="17"/>
      <c r="S18" s="17"/>
      <c r="T18" s="2"/>
      <c r="U18" s="2"/>
      <c r="V18" s="2"/>
      <c r="W18" s="17">
        <f t="shared" si="3"/>
        <v>0</v>
      </c>
    </row>
    <row r="19" spans="1:23" x14ac:dyDescent="0.2">
      <c r="A19" s="16"/>
      <c r="B19" s="17"/>
      <c r="C19" s="17"/>
      <c r="D19" s="16">
        <v>45787</v>
      </c>
      <c r="E19" s="17" t="s">
        <v>24</v>
      </c>
      <c r="F19" s="17">
        <v>42</v>
      </c>
      <c r="G19" s="17"/>
      <c r="H19" s="17" t="s">
        <v>195</v>
      </c>
      <c r="I19" s="17">
        <v>488</v>
      </c>
      <c r="J19" s="17" t="s">
        <v>27</v>
      </c>
      <c r="K19" s="17">
        <f t="shared" si="0"/>
        <v>488</v>
      </c>
      <c r="L19" s="17">
        <v>1000</v>
      </c>
      <c r="M19" s="17" t="str">
        <f t="shared" si="1"/>
        <v>Place Order</v>
      </c>
      <c r="N19" s="17" t="s">
        <v>34</v>
      </c>
      <c r="O19" s="17">
        <v>62</v>
      </c>
      <c r="P19" s="40">
        <f t="shared" si="2"/>
        <v>30256</v>
      </c>
      <c r="Q19" s="8"/>
      <c r="R19" s="17"/>
      <c r="S19" s="17"/>
      <c r="T19" s="2"/>
      <c r="U19" s="2"/>
      <c r="V19" s="2"/>
      <c r="W19" s="17">
        <f t="shared" si="3"/>
        <v>0</v>
      </c>
    </row>
    <row r="20" spans="1:23" x14ac:dyDescent="0.2">
      <c r="A20" s="16"/>
      <c r="B20" s="17"/>
      <c r="C20" s="17"/>
      <c r="D20" s="16">
        <v>45789</v>
      </c>
      <c r="E20" s="17" t="s">
        <v>26</v>
      </c>
      <c r="F20" s="17">
        <v>25</v>
      </c>
      <c r="G20" s="17"/>
      <c r="H20" s="17" t="s">
        <v>196</v>
      </c>
      <c r="I20" s="17">
        <v>0</v>
      </c>
      <c r="J20" s="17" t="s">
        <v>28</v>
      </c>
      <c r="K20" s="17">
        <f t="shared" si="0"/>
        <v>0</v>
      </c>
      <c r="L20" s="17">
        <v>500</v>
      </c>
      <c r="M20" s="17" t="str">
        <f t="shared" si="1"/>
        <v>Place Order</v>
      </c>
      <c r="N20" s="17" t="s">
        <v>34</v>
      </c>
      <c r="O20" s="17"/>
      <c r="P20" s="40">
        <f t="shared" si="2"/>
        <v>0</v>
      </c>
      <c r="Q20" s="8"/>
      <c r="R20" s="17"/>
      <c r="S20" s="17"/>
      <c r="T20" s="2"/>
      <c r="U20" s="2"/>
      <c r="V20" s="2"/>
      <c r="W20" s="17">
        <f t="shared" si="3"/>
        <v>0</v>
      </c>
    </row>
    <row r="21" spans="1:23" x14ac:dyDescent="0.2">
      <c r="A21" s="16"/>
      <c r="B21" s="17"/>
      <c r="C21" s="17"/>
      <c r="D21" s="16">
        <v>45789</v>
      </c>
      <c r="E21" s="17" t="s">
        <v>24</v>
      </c>
      <c r="F21" s="17">
        <v>35</v>
      </c>
      <c r="G21" s="17"/>
      <c r="H21" s="17" t="s">
        <v>202</v>
      </c>
      <c r="I21" s="17">
        <v>0</v>
      </c>
      <c r="J21" s="17" t="s">
        <v>201</v>
      </c>
      <c r="K21" s="17">
        <f t="shared" si="0"/>
        <v>0</v>
      </c>
      <c r="L21" s="17">
        <v>500</v>
      </c>
      <c r="M21" s="17" t="str">
        <f t="shared" si="1"/>
        <v>Place Order</v>
      </c>
      <c r="N21" s="17" t="s">
        <v>37</v>
      </c>
      <c r="O21" s="17">
        <v>3.2</v>
      </c>
      <c r="P21" s="40">
        <f t="shared" si="2"/>
        <v>0</v>
      </c>
      <c r="Q21" s="8"/>
      <c r="R21" s="8"/>
      <c r="S21" s="8"/>
      <c r="W21" s="8"/>
    </row>
    <row r="22" spans="1:23" x14ac:dyDescent="0.2">
      <c r="A22" s="2"/>
      <c r="B22" s="2"/>
      <c r="C22" s="2"/>
      <c r="D22" s="16">
        <v>45789</v>
      </c>
      <c r="E22" s="17" t="s">
        <v>25</v>
      </c>
      <c r="F22" s="17">
        <v>150</v>
      </c>
      <c r="G22" s="2"/>
      <c r="H22" s="17" t="s">
        <v>200</v>
      </c>
      <c r="I22" s="17">
        <v>16</v>
      </c>
      <c r="J22" s="17" t="s">
        <v>203</v>
      </c>
      <c r="K22" s="17">
        <f t="shared" si="0"/>
        <v>16</v>
      </c>
      <c r="L22" s="17">
        <v>20</v>
      </c>
      <c r="M22" s="17" t="str">
        <f t="shared" si="1"/>
        <v>Place Order</v>
      </c>
      <c r="N22" s="17" t="s">
        <v>34</v>
      </c>
      <c r="O22" s="17">
        <v>600</v>
      </c>
      <c r="P22" s="40">
        <f t="shared" si="2"/>
        <v>9600</v>
      </c>
      <c r="S22" s="1" t="s">
        <v>67</v>
      </c>
    </row>
    <row r="23" spans="1:23" x14ac:dyDescent="0.2">
      <c r="A23" s="2"/>
      <c r="B23" s="2"/>
      <c r="C23" s="2"/>
      <c r="D23" s="16">
        <v>45797</v>
      </c>
      <c r="E23" s="17" t="s">
        <v>26</v>
      </c>
      <c r="F23" s="17">
        <v>2.5</v>
      </c>
      <c r="G23" s="2"/>
      <c r="H23" s="17" t="s">
        <v>624</v>
      </c>
      <c r="I23" s="17">
        <v>51</v>
      </c>
      <c r="J23" s="17" t="s">
        <v>623</v>
      </c>
      <c r="K23" s="17">
        <f t="shared" si="0"/>
        <v>21</v>
      </c>
      <c r="L23" s="17">
        <v>20</v>
      </c>
      <c r="M23" s="2"/>
      <c r="N23" s="17" t="s">
        <v>34</v>
      </c>
      <c r="O23" s="17">
        <v>350</v>
      </c>
      <c r="P23" s="40">
        <f t="shared" si="2"/>
        <v>7350</v>
      </c>
    </row>
    <row r="24" spans="1:23" x14ac:dyDescent="0.2">
      <c r="D24" s="16">
        <v>45797</v>
      </c>
      <c r="E24" s="16" t="s">
        <v>24</v>
      </c>
      <c r="F24" s="17">
        <v>3.5</v>
      </c>
      <c r="P24" s="41" t="e">
        <f>SUM(P5:P23)</f>
        <v>#VALUE!</v>
      </c>
    </row>
    <row r="25" spans="1:23" x14ac:dyDescent="0.2">
      <c r="D25" s="16">
        <v>45797</v>
      </c>
      <c r="E25" s="16" t="s">
        <v>25</v>
      </c>
      <c r="F25" s="17">
        <v>15</v>
      </c>
    </row>
    <row r="26" spans="1:23" x14ac:dyDescent="0.2">
      <c r="D26" s="16">
        <v>45803</v>
      </c>
      <c r="E26" s="16" t="s">
        <v>623</v>
      </c>
      <c r="F26" s="17">
        <v>30</v>
      </c>
    </row>
    <row r="27" spans="1:23" x14ac:dyDescent="0.2">
      <c r="D27" s="16"/>
      <c r="E27" s="16"/>
      <c r="F27" s="17"/>
    </row>
    <row r="28" spans="1:23" x14ac:dyDescent="0.2">
      <c r="D28" s="16"/>
      <c r="E28" s="16"/>
      <c r="F28" s="17"/>
    </row>
    <row r="29" spans="1:23" x14ac:dyDescent="0.2">
      <c r="D29" s="16"/>
      <c r="E29" s="16"/>
      <c r="F29" s="17"/>
    </row>
    <row r="30" spans="1:23" x14ac:dyDescent="0.2">
      <c r="D30" s="16"/>
      <c r="E30" s="16"/>
      <c r="F30" s="17"/>
    </row>
    <row r="31" spans="1:23" x14ac:dyDescent="0.2">
      <c r="D31" s="16"/>
      <c r="E31" s="16"/>
      <c r="F31" s="17"/>
    </row>
    <row r="32" spans="1:23" x14ac:dyDescent="0.2">
      <c r="D32" s="16"/>
      <c r="E32" s="16"/>
      <c r="F32" s="17"/>
    </row>
    <row r="33" spans="4:11" x14ac:dyDescent="0.2">
      <c r="D33" s="16"/>
      <c r="E33" s="16"/>
      <c r="F33" s="17"/>
    </row>
    <row r="34" spans="4:11" x14ac:dyDescent="0.2">
      <c r="H34" s="17" t="str" cm="1">
        <f t="array" ref="H34:I39">_xlfn.GROUPBY(E5:E33,F5:F33,_xleta.SUM)</f>
        <v>Micro Paddy Wonder</v>
      </c>
      <c r="I34" s="17">
        <v>30</v>
      </c>
      <c r="J34" s="40">
        <v>1968</v>
      </c>
      <c r="K34" s="40">
        <f>I34*J34</f>
        <v>59040</v>
      </c>
    </row>
    <row r="35" spans="4:11" x14ac:dyDescent="0.2">
      <c r="H35" s="17" t="str">
        <v>MOP</v>
      </c>
      <c r="I35" s="17">
        <v>309</v>
      </c>
      <c r="J35" s="40">
        <v>170</v>
      </c>
      <c r="K35" s="40">
        <f t="shared" ref="K35:K39" si="4">I35*J35</f>
        <v>52530</v>
      </c>
    </row>
    <row r="36" spans="4:11" x14ac:dyDescent="0.2">
      <c r="H36" s="17" t="str">
        <v>TSP</v>
      </c>
      <c r="I36" s="17">
        <v>1245</v>
      </c>
      <c r="J36" s="40">
        <v>150</v>
      </c>
      <c r="K36" s="40">
        <f t="shared" si="4"/>
        <v>186750</v>
      </c>
    </row>
    <row r="37" spans="4:11" x14ac:dyDescent="0.2">
      <c r="H37" s="17" t="str">
        <v>Urea</v>
      </c>
      <c r="I37" s="17">
        <v>224</v>
      </c>
      <c r="J37" s="40">
        <v>180</v>
      </c>
      <c r="K37" s="40">
        <f t="shared" si="4"/>
        <v>40320</v>
      </c>
    </row>
    <row r="38" spans="4:11" x14ac:dyDescent="0.2">
      <c r="H38" s="17">
        <v>0</v>
      </c>
      <c r="I38" s="17">
        <v>0</v>
      </c>
      <c r="J38" s="40"/>
      <c r="K38" s="40">
        <f t="shared" si="4"/>
        <v>0</v>
      </c>
    </row>
    <row r="39" spans="4:11" x14ac:dyDescent="0.2">
      <c r="H39" s="17" t="str">
        <v>Total</v>
      </c>
      <c r="I39" s="17">
        <v>1808</v>
      </c>
      <c r="J39" s="40">
        <v>150</v>
      </c>
      <c r="K39" s="40">
        <f t="shared" si="4"/>
        <v>271200</v>
      </c>
    </row>
    <row r="40" spans="4:11" x14ac:dyDescent="0.2">
      <c r="H40" s="17"/>
      <c r="I40" s="17"/>
      <c r="J40" s="40"/>
      <c r="K40" s="40"/>
    </row>
    <row r="41" spans="4:11" x14ac:dyDescent="0.2">
      <c r="H41" s="17"/>
      <c r="I41" s="13"/>
      <c r="J41" s="40"/>
      <c r="K41" s="41">
        <f>SUM(K34:K40)</f>
        <v>609840</v>
      </c>
    </row>
  </sheetData>
  <autoFilter ref="E1:E31" xr:uid="{CAD01583-D268-CF4F-BB56-30C8965E0E6B}"/>
  <mergeCells count="11">
    <mergeCell ref="O3:O4"/>
    <mergeCell ref="P3:P4"/>
    <mergeCell ref="N3:N4"/>
    <mergeCell ref="A1:M1"/>
    <mergeCell ref="A3:C3"/>
    <mergeCell ref="D3:F3"/>
    <mergeCell ref="H3:H4"/>
    <mergeCell ref="I3:I4"/>
    <mergeCell ref="J3:K3"/>
    <mergeCell ref="L3:L4"/>
    <mergeCell ref="M3:M4"/>
  </mergeCells>
  <phoneticPr fontId="3" type="noConversion"/>
  <conditionalFormatting sqref="M5:P22">
    <cfRule type="containsText" dxfId="24" priority="3" operator="containsText" text="Place Order">
      <formula>NOT(ISERROR(SEARCH("Place Order",M5)))</formula>
    </cfRule>
  </conditionalFormatting>
  <conditionalFormatting sqref="N23:P23">
    <cfRule type="containsText" dxfId="23" priority="1" operator="containsText" text="Place Order">
      <formula>NOT(ISERROR(SEARCH("Place Order",N23)))</formula>
    </cfRule>
  </conditionalFormatting>
  <conditionalFormatting sqref="P24">
    <cfRule type="containsText" dxfId="22" priority="2" operator="containsText" text="Place Order">
      <formula>NOT(ISERROR(SEARCH("Place Order",P24)))</formula>
    </cfRule>
  </conditionalFormatting>
  <dataValidations count="1">
    <dataValidation type="list" allowBlank="1" showInputMessage="1" showErrorMessage="1" sqref="B5:B23 E1:E1048576" xr:uid="{983C84CC-B500-A84C-A898-869363C9FDEE}">
      <formula1>$J$5:$J$23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EB43-1AAD-C64A-AD8D-2F69D8888887}">
  <dimension ref="A1:Y57"/>
  <sheetViews>
    <sheetView zoomScale="130" zoomScaleNormal="130" workbookViewId="0">
      <pane ySplit="4" topLeftCell="A5" activePane="bottomLeft" state="frozen"/>
      <selection activeCell="S22" sqref="S22"/>
      <selection pane="bottomLeft" activeCell="C12" sqref="C12"/>
    </sheetView>
  </sheetViews>
  <sheetFormatPr baseColWidth="10" defaultColWidth="9.1640625" defaultRowHeight="14" x14ac:dyDescent="0.2"/>
  <cols>
    <col min="1" max="1" width="9.83203125" style="1" bestFit="1" customWidth="1"/>
    <col min="2" max="2" width="18" style="1" bestFit="1" customWidth="1"/>
    <col min="3" max="3" width="9.33203125" style="1" bestFit="1" customWidth="1"/>
    <col min="4" max="4" width="10.1640625" style="1" bestFit="1" customWidth="1"/>
    <col min="5" max="5" width="18" style="1" bestFit="1" customWidth="1"/>
    <col min="6" max="6" width="8.83203125" style="1" customWidth="1"/>
    <col min="7" max="7" width="3.5" style="1" customWidth="1"/>
    <col min="8" max="8" width="18" style="1" bestFit="1" customWidth="1"/>
    <col min="9" max="9" width="9.5" style="1" customWidth="1"/>
    <col min="10" max="10" width="18" style="1" bestFit="1" customWidth="1"/>
    <col min="11" max="11" width="9.33203125" style="1" bestFit="1" customWidth="1"/>
    <col min="12" max="12" width="10.5" style="1" customWidth="1"/>
    <col min="13" max="13" width="12.33203125" style="1" customWidth="1"/>
    <col min="14" max="14" width="5.83203125" style="1" customWidth="1"/>
    <col min="15" max="15" width="10.33203125" style="1" bestFit="1" customWidth="1"/>
    <col min="16" max="17" width="10.33203125" style="1" customWidth="1"/>
    <col min="18" max="18" width="22.5" style="1" bestFit="1" customWidth="1"/>
    <col min="19" max="19" width="9.83203125" style="1" bestFit="1" customWidth="1"/>
    <col min="20" max="24" width="9.1640625" style="1"/>
    <col min="25" max="25" width="11.1640625" style="1" bestFit="1" customWidth="1"/>
    <col min="26" max="16384" width="9.1640625" style="1"/>
  </cols>
  <sheetData>
    <row r="1" spans="1:25" ht="20" x14ac:dyDescent="0.2">
      <c r="A1" s="99" t="s">
        <v>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" t="s">
        <v>15</v>
      </c>
      <c r="T1" s="5" t="s">
        <v>11</v>
      </c>
      <c r="U1" s="5" t="s">
        <v>11</v>
      </c>
      <c r="V1" s="5"/>
      <c r="W1" s="5"/>
      <c r="X1" s="5"/>
    </row>
    <row r="2" spans="1:25" x14ac:dyDescent="0.2">
      <c r="A2" s="10" t="s">
        <v>634</v>
      </c>
      <c r="B2" s="8"/>
      <c r="C2" s="8" t="s">
        <v>157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5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81" t="s">
        <v>21</v>
      </c>
      <c r="I3" s="83" t="s">
        <v>12</v>
      </c>
      <c r="J3" s="85" t="s">
        <v>10</v>
      </c>
      <c r="K3" s="85"/>
      <c r="L3" s="83" t="s">
        <v>13</v>
      </c>
      <c r="M3" s="86" t="s">
        <v>3</v>
      </c>
      <c r="N3" s="77" t="s">
        <v>32</v>
      </c>
      <c r="O3" s="77" t="s">
        <v>42</v>
      </c>
      <c r="P3" s="77" t="s">
        <v>253</v>
      </c>
      <c r="Q3" s="77" t="s">
        <v>254</v>
      </c>
      <c r="R3" s="8"/>
      <c r="S3" s="10" t="s">
        <v>14</v>
      </c>
      <c r="T3" s="8"/>
      <c r="U3" s="8"/>
      <c r="V3" s="8"/>
      <c r="W3" s="8"/>
      <c r="X3" s="8"/>
      <c r="Y3" s="8"/>
    </row>
    <row r="4" spans="1:25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82"/>
      <c r="I4" s="84"/>
      <c r="J4" s="14" t="s">
        <v>2</v>
      </c>
      <c r="K4" s="14" t="s">
        <v>1</v>
      </c>
      <c r="L4" s="84"/>
      <c r="M4" s="87"/>
      <c r="N4" s="77"/>
      <c r="O4" s="77"/>
      <c r="P4" s="77"/>
      <c r="Q4" s="77"/>
      <c r="R4" s="8" t="s">
        <v>71</v>
      </c>
      <c r="S4" s="8"/>
      <c r="T4" s="15">
        <v>44080</v>
      </c>
      <c r="U4" s="15">
        <v>44092</v>
      </c>
      <c r="V4" s="15"/>
      <c r="W4" s="15"/>
      <c r="X4" s="15"/>
      <c r="Y4" s="15" t="s">
        <v>6</v>
      </c>
    </row>
    <row r="5" spans="1:25" x14ac:dyDescent="0.2">
      <c r="A5" s="16">
        <v>45723</v>
      </c>
      <c r="B5" s="17" t="s">
        <v>64</v>
      </c>
      <c r="C5" s="17">
        <v>100</v>
      </c>
      <c r="D5" s="16">
        <v>45719</v>
      </c>
      <c r="E5" s="17" t="s">
        <v>62</v>
      </c>
      <c r="F5" s="17">
        <v>52</v>
      </c>
      <c r="G5" s="17"/>
      <c r="H5" s="17" t="s">
        <v>218</v>
      </c>
      <c r="I5" s="17">
        <v>2800</v>
      </c>
      <c r="J5" s="17" t="s">
        <v>41</v>
      </c>
      <c r="K5" s="17">
        <f t="shared" ref="K5:K41" si="0">I5+SUMIF($B$5:$B$36,J5,$C$5:$C$36)-SUMIF($E$5:$E$36,J5,$F$5:$F$36)</f>
        <v>2760</v>
      </c>
      <c r="L5" s="17">
        <v>500</v>
      </c>
      <c r="M5" s="17" t="str">
        <f>IF((K5+Y5)&lt;L5,"Place Order","")</f>
        <v/>
      </c>
      <c r="N5" s="17" t="s">
        <v>37</v>
      </c>
      <c r="O5" s="16">
        <v>46166</v>
      </c>
      <c r="P5" s="44">
        <v>20.9</v>
      </c>
      <c r="Q5" s="40">
        <f>K5*P5</f>
        <v>57683.999999999993</v>
      </c>
      <c r="R5" s="34" t="s">
        <v>72</v>
      </c>
      <c r="S5" s="8"/>
      <c r="T5" s="17"/>
      <c r="U5" s="17"/>
      <c r="V5" s="17"/>
      <c r="W5" s="17"/>
      <c r="X5" s="17"/>
      <c r="Y5" s="17">
        <f>SUMIF($T$1:$X$1,"T",T5:X5)</f>
        <v>0</v>
      </c>
    </row>
    <row r="6" spans="1:25" x14ac:dyDescent="0.2">
      <c r="A6" s="16">
        <v>45728</v>
      </c>
      <c r="B6" s="17" t="s">
        <v>251</v>
      </c>
      <c r="C6" s="17">
        <v>1000</v>
      </c>
      <c r="D6" s="16">
        <v>45719</v>
      </c>
      <c r="E6" s="17" t="s">
        <v>54</v>
      </c>
      <c r="F6" s="17">
        <v>880</v>
      </c>
      <c r="G6" s="17"/>
      <c r="H6" s="17" t="s">
        <v>219</v>
      </c>
      <c r="I6" s="17">
        <v>0</v>
      </c>
      <c r="J6" s="17" t="s">
        <v>52</v>
      </c>
      <c r="K6" s="17">
        <f t="shared" si="0"/>
        <v>0</v>
      </c>
      <c r="L6" s="17">
        <v>500</v>
      </c>
      <c r="M6" s="17" t="str">
        <f>IF((K6+Y14)&lt;L6,"Place Order","")</f>
        <v>Place Order</v>
      </c>
      <c r="N6" s="17" t="s">
        <v>37</v>
      </c>
      <c r="O6" s="16"/>
      <c r="P6" s="44">
        <v>5.6550000000000002</v>
      </c>
      <c r="Q6" s="40">
        <f t="shared" ref="Q6:Q41" si="1">K6*P6</f>
        <v>0</v>
      </c>
      <c r="R6" s="35" t="s">
        <v>73</v>
      </c>
      <c r="S6" s="8"/>
      <c r="T6" s="17"/>
      <c r="U6" s="17"/>
      <c r="V6" s="17"/>
      <c r="W6" s="17"/>
      <c r="X6" s="17"/>
      <c r="Y6" s="17"/>
    </row>
    <row r="7" spans="1:25" x14ac:dyDescent="0.2">
      <c r="A7" s="16">
        <v>45736</v>
      </c>
      <c r="B7" s="17" t="s">
        <v>197</v>
      </c>
      <c r="C7" s="17">
        <v>50</v>
      </c>
      <c r="D7" s="16">
        <v>45720</v>
      </c>
      <c r="E7" s="17" t="s">
        <v>62</v>
      </c>
      <c r="F7" s="17">
        <v>8</v>
      </c>
      <c r="G7" s="17"/>
      <c r="H7" s="17" t="s">
        <v>220</v>
      </c>
      <c r="I7" s="17">
        <v>0</v>
      </c>
      <c r="J7" s="17" t="s">
        <v>60</v>
      </c>
      <c r="K7" s="17">
        <f t="shared" si="0"/>
        <v>0</v>
      </c>
      <c r="L7" s="17">
        <v>40</v>
      </c>
      <c r="M7" s="17" t="str">
        <f>IF((K7+Y15)&lt;L7,"Place Order","")</f>
        <v>Place Order</v>
      </c>
      <c r="N7" s="17" t="s">
        <v>35</v>
      </c>
      <c r="O7" s="46">
        <v>46065</v>
      </c>
      <c r="P7" s="44">
        <v>40</v>
      </c>
      <c r="Q7" s="40">
        <f t="shared" si="1"/>
        <v>0</v>
      </c>
      <c r="R7" s="36" t="s">
        <v>74</v>
      </c>
      <c r="S7" s="8"/>
      <c r="T7" s="17"/>
      <c r="U7" s="17"/>
      <c r="V7" s="17"/>
      <c r="W7" s="17"/>
      <c r="X7" s="17"/>
      <c r="Y7" s="17"/>
    </row>
    <row r="8" spans="1:25" x14ac:dyDescent="0.2">
      <c r="A8" s="16">
        <v>45736</v>
      </c>
      <c r="B8" s="17" t="s">
        <v>64</v>
      </c>
      <c r="C8" s="17">
        <v>200</v>
      </c>
      <c r="D8" s="16">
        <v>45720</v>
      </c>
      <c r="E8" s="17" t="s">
        <v>41</v>
      </c>
      <c r="F8" s="17">
        <v>40</v>
      </c>
      <c r="G8" s="17"/>
      <c r="H8" s="17" t="s">
        <v>221</v>
      </c>
      <c r="I8" s="17">
        <v>0</v>
      </c>
      <c r="J8" s="17" t="s">
        <v>43</v>
      </c>
      <c r="K8" s="17">
        <f t="shared" si="0"/>
        <v>0</v>
      </c>
      <c r="L8" s="17">
        <v>1000</v>
      </c>
      <c r="M8" s="17" t="str">
        <f>IF((K8+Y10)&lt;L8,"Place Order","")</f>
        <v>Place Order</v>
      </c>
      <c r="N8" s="17" t="s">
        <v>37</v>
      </c>
      <c r="O8" s="16"/>
      <c r="P8" s="44"/>
      <c r="Q8" s="40">
        <f t="shared" si="1"/>
        <v>0</v>
      </c>
      <c r="R8" s="8"/>
      <c r="S8" s="8"/>
      <c r="T8" s="17"/>
      <c r="U8" s="17"/>
      <c r="V8" s="17"/>
      <c r="W8" s="17"/>
      <c r="X8" s="17"/>
      <c r="Y8" s="17"/>
    </row>
    <row r="9" spans="1:25" x14ac:dyDescent="0.2">
      <c r="A9" s="16"/>
      <c r="B9" s="17"/>
      <c r="C9" s="17"/>
      <c r="D9" s="16">
        <v>45723</v>
      </c>
      <c r="E9" s="17" t="s">
        <v>47</v>
      </c>
      <c r="F9" s="17">
        <v>50</v>
      </c>
      <c r="G9" s="17"/>
      <c r="H9" s="17" t="s">
        <v>222</v>
      </c>
      <c r="I9" s="17">
        <v>0</v>
      </c>
      <c r="J9" s="17" t="s">
        <v>53</v>
      </c>
      <c r="K9" s="17">
        <f t="shared" si="0"/>
        <v>0</v>
      </c>
      <c r="L9" s="17">
        <v>1000</v>
      </c>
      <c r="M9" s="17" t="str">
        <f>IF((K9+Y11)&lt;L9,"Place Order","")</f>
        <v>Place Order</v>
      </c>
      <c r="N9" s="17" t="s">
        <v>37</v>
      </c>
      <c r="O9" s="16"/>
      <c r="P9" s="44"/>
      <c r="Q9" s="40">
        <f t="shared" si="1"/>
        <v>0</v>
      </c>
      <c r="R9" s="8"/>
      <c r="S9" s="8"/>
      <c r="T9" s="17"/>
      <c r="U9" s="17"/>
      <c r="V9" s="17"/>
      <c r="W9" s="17"/>
      <c r="X9" s="17"/>
      <c r="Y9" s="17"/>
    </row>
    <row r="10" spans="1:25" x14ac:dyDescent="0.2">
      <c r="A10" s="16"/>
      <c r="B10" s="17"/>
      <c r="C10" s="17"/>
      <c r="D10" s="16">
        <v>45723</v>
      </c>
      <c r="E10" s="17" t="s">
        <v>64</v>
      </c>
      <c r="F10" s="17">
        <v>16</v>
      </c>
      <c r="G10" s="17"/>
      <c r="H10" s="17" t="s">
        <v>223</v>
      </c>
      <c r="I10" s="17">
        <v>0</v>
      </c>
      <c r="J10" s="17" t="s">
        <v>45</v>
      </c>
      <c r="K10" s="17">
        <f t="shared" si="0"/>
        <v>0</v>
      </c>
      <c r="L10" s="17">
        <v>500</v>
      </c>
      <c r="M10" s="17" t="str">
        <f>IF((K10+Y12)&lt;L10,"Place Order","")</f>
        <v>Place Order</v>
      </c>
      <c r="N10" s="17" t="s">
        <v>35</v>
      </c>
      <c r="O10" s="16"/>
      <c r="P10" s="44">
        <v>6</v>
      </c>
      <c r="Q10" s="40">
        <f t="shared" si="1"/>
        <v>0</v>
      </c>
      <c r="S10" s="8"/>
      <c r="T10" s="17"/>
      <c r="U10" s="17"/>
      <c r="V10" s="17"/>
      <c r="W10" s="17"/>
      <c r="X10" s="17"/>
      <c r="Y10" s="17">
        <f t="shared" ref="Y10:Y36" si="2">SUMIF($T$1:$X$1,"T",T10:X10)</f>
        <v>0</v>
      </c>
    </row>
    <row r="11" spans="1:25" x14ac:dyDescent="0.2">
      <c r="A11" s="16"/>
      <c r="B11" s="17"/>
      <c r="C11" s="17"/>
      <c r="D11" s="16">
        <v>45726</v>
      </c>
      <c r="E11" s="17" t="s">
        <v>62</v>
      </c>
      <c r="F11" s="17">
        <v>24</v>
      </c>
      <c r="G11" s="17"/>
      <c r="H11" s="17" t="s">
        <v>224</v>
      </c>
      <c r="I11" s="17">
        <v>100</v>
      </c>
      <c r="J11" s="17" t="s">
        <v>44</v>
      </c>
      <c r="K11" s="17">
        <f t="shared" si="0"/>
        <v>100</v>
      </c>
      <c r="L11" s="17">
        <v>500</v>
      </c>
      <c r="M11" s="17" t="str">
        <f>IF((K11+Y11)&lt;L11,"Place Order","")</f>
        <v>Place Order</v>
      </c>
      <c r="N11" s="17" t="s">
        <v>37</v>
      </c>
      <c r="O11" s="16"/>
      <c r="P11" s="44">
        <v>24</v>
      </c>
      <c r="Q11" s="40">
        <f t="shared" si="1"/>
        <v>2400</v>
      </c>
      <c r="S11" s="8"/>
      <c r="T11" s="17"/>
      <c r="U11" s="17"/>
      <c r="V11" s="17"/>
      <c r="W11" s="17"/>
      <c r="X11" s="17"/>
      <c r="Y11" s="17">
        <f t="shared" si="2"/>
        <v>0</v>
      </c>
    </row>
    <row r="12" spans="1:25" x14ac:dyDescent="0.2">
      <c r="A12" s="16"/>
      <c r="B12" s="17"/>
      <c r="C12" s="17"/>
      <c r="D12" s="16">
        <v>45726</v>
      </c>
      <c r="E12" s="17" t="s">
        <v>54</v>
      </c>
      <c r="F12" s="17">
        <v>480</v>
      </c>
      <c r="G12" s="17"/>
      <c r="H12" s="17" t="s">
        <v>225</v>
      </c>
      <c r="I12" s="17">
        <v>0</v>
      </c>
      <c r="J12" s="17" t="s">
        <v>57</v>
      </c>
      <c r="K12" s="17">
        <f t="shared" si="0"/>
        <v>0</v>
      </c>
      <c r="L12" s="17">
        <v>80</v>
      </c>
      <c r="M12" s="17" t="str">
        <f>IF((K12+Y16)&lt;L12,"Place Order","")</f>
        <v>Place Order</v>
      </c>
      <c r="N12" s="17" t="s">
        <v>35</v>
      </c>
      <c r="O12" s="16"/>
      <c r="P12" s="44">
        <v>27.48</v>
      </c>
      <c r="Q12" s="40">
        <f t="shared" si="1"/>
        <v>0</v>
      </c>
      <c r="R12" s="8"/>
      <c r="S12" s="8"/>
      <c r="T12" s="17"/>
      <c r="U12" s="17"/>
      <c r="V12" s="17"/>
      <c r="W12" s="17"/>
      <c r="X12" s="17"/>
      <c r="Y12" s="17">
        <f t="shared" si="2"/>
        <v>0</v>
      </c>
    </row>
    <row r="13" spans="1:25" x14ac:dyDescent="0.2">
      <c r="A13" s="17"/>
      <c r="B13" s="17"/>
      <c r="C13" s="17"/>
      <c r="D13" s="16">
        <v>45728</v>
      </c>
      <c r="E13" s="17" t="s">
        <v>251</v>
      </c>
      <c r="F13" s="17">
        <v>1000</v>
      </c>
      <c r="G13" s="17"/>
      <c r="H13" s="17" t="s">
        <v>226</v>
      </c>
      <c r="I13" s="17">
        <v>400</v>
      </c>
      <c r="J13" s="17" t="s">
        <v>46</v>
      </c>
      <c r="K13" s="17">
        <f t="shared" si="0"/>
        <v>400</v>
      </c>
      <c r="L13" s="17">
        <v>500</v>
      </c>
      <c r="M13" s="17" t="str">
        <f>IF((K13+Y13)&lt;L13,"Place Order","")</f>
        <v>Place Order</v>
      </c>
      <c r="N13" s="17" t="s">
        <v>37</v>
      </c>
      <c r="O13" s="16">
        <v>46137</v>
      </c>
      <c r="P13" s="44">
        <v>9</v>
      </c>
      <c r="Q13" s="40">
        <f t="shared" si="1"/>
        <v>3600</v>
      </c>
      <c r="R13" s="8"/>
      <c r="S13" s="8"/>
      <c r="T13" s="17"/>
      <c r="U13" s="17"/>
      <c r="V13" s="17"/>
      <c r="W13" s="17"/>
      <c r="X13" s="17"/>
      <c r="Y13" s="17">
        <f t="shared" si="2"/>
        <v>0</v>
      </c>
    </row>
    <row r="14" spans="1:25" x14ac:dyDescent="0.2">
      <c r="A14" s="16"/>
      <c r="B14" s="17"/>
      <c r="C14" s="17"/>
      <c r="D14" s="16">
        <v>45728</v>
      </c>
      <c r="E14" s="17" t="s">
        <v>62</v>
      </c>
      <c r="F14" s="17">
        <v>12</v>
      </c>
      <c r="G14" s="17"/>
      <c r="H14" s="17" t="s">
        <v>227</v>
      </c>
      <c r="I14" s="17">
        <v>8</v>
      </c>
      <c r="J14" s="17" t="s">
        <v>197</v>
      </c>
      <c r="K14" s="17">
        <f>I14+SUMIF($B$5:$B$36,J14,$C$5:$C$36)-SUMIF($E$5:$E$36,J14,$F$5:$F$36)</f>
        <v>34</v>
      </c>
      <c r="L14" s="17">
        <v>50</v>
      </c>
      <c r="M14" s="17" t="str">
        <f>IF((K14+Y17)&lt;L14,"Place Order","")</f>
        <v>Place Order</v>
      </c>
      <c r="N14" s="17" t="s">
        <v>37</v>
      </c>
      <c r="O14" s="16">
        <v>45838</v>
      </c>
      <c r="P14" s="44">
        <v>100</v>
      </c>
      <c r="Q14" s="40">
        <f t="shared" si="1"/>
        <v>3400</v>
      </c>
      <c r="R14" s="8"/>
      <c r="S14" s="8"/>
      <c r="T14" s="17"/>
      <c r="U14" s="17"/>
      <c r="V14" s="17"/>
      <c r="W14" s="17"/>
      <c r="X14" s="17"/>
      <c r="Y14" s="17">
        <f t="shared" si="2"/>
        <v>0</v>
      </c>
    </row>
    <row r="15" spans="1:25" x14ac:dyDescent="0.2">
      <c r="A15" s="16"/>
      <c r="B15" s="17"/>
      <c r="C15" s="17"/>
      <c r="D15" s="16">
        <v>45728</v>
      </c>
      <c r="E15" s="17" t="s">
        <v>54</v>
      </c>
      <c r="F15" s="17">
        <v>240</v>
      </c>
      <c r="G15" s="17"/>
      <c r="H15" s="17" t="s">
        <v>228</v>
      </c>
      <c r="I15" s="17">
        <v>0</v>
      </c>
      <c r="J15" s="17" t="s">
        <v>217</v>
      </c>
      <c r="K15" s="17">
        <f t="shared" si="0"/>
        <v>0</v>
      </c>
      <c r="L15" s="17">
        <v>50</v>
      </c>
      <c r="M15" s="17" t="str">
        <f>IF((K15+Y18)&lt;L15,"Place Order","")</f>
        <v>Place Order</v>
      </c>
      <c r="N15" s="17" t="s">
        <v>35</v>
      </c>
      <c r="O15" s="16">
        <v>46094</v>
      </c>
      <c r="P15" s="44">
        <v>40</v>
      </c>
      <c r="Q15" s="40">
        <f t="shared" si="1"/>
        <v>0</v>
      </c>
      <c r="R15" s="8"/>
      <c r="S15" s="8"/>
      <c r="T15" s="17"/>
      <c r="U15" s="17"/>
      <c r="V15" s="17"/>
      <c r="W15" s="17"/>
      <c r="X15" s="17"/>
      <c r="Y15" s="17">
        <f t="shared" si="2"/>
        <v>0</v>
      </c>
    </row>
    <row r="16" spans="1:25" x14ac:dyDescent="0.2">
      <c r="A16" s="16"/>
      <c r="B16" s="17"/>
      <c r="C16" s="17"/>
      <c r="D16" s="16">
        <v>45729</v>
      </c>
      <c r="E16" s="17" t="s">
        <v>62</v>
      </c>
      <c r="F16" s="17">
        <v>20</v>
      </c>
      <c r="G16" s="17"/>
      <c r="H16" s="17" t="s">
        <v>229</v>
      </c>
      <c r="I16" s="17">
        <v>1</v>
      </c>
      <c r="J16" s="17" t="s">
        <v>204</v>
      </c>
      <c r="K16" s="17">
        <f t="shared" si="0"/>
        <v>1</v>
      </c>
      <c r="L16" s="17">
        <v>500</v>
      </c>
      <c r="M16" s="17" t="str">
        <f t="shared" ref="M16:M18" si="3">IF((K16+Y19)&lt;L16,"Place Order","")</f>
        <v>Place Order</v>
      </c>
      <c r="N16" s="17" t="s">
        <v>34</v>
      </c>
      <c r="O16" s="16"/>
      <c r="P16" s="44">
        <v>1210</v>
      </c>
      <c r="Q16" s="40">
        <f t="shared" si="1"/>
        <v>1210</v>
      </c>
      <c r="R16" s="8" t="s">
        <v>67</v>
      </c>
      <c r="S16" s="8"/>
      <c r="T16" s="17"/>
      <c r="U16" s="17"/>
      <c r="V16" s="17"/>
      <c r="W16" s="17"/>
      <c r="X16" s="17"/>
      <c r="Y16" s="17">
        <f t="shared" si="2"/>
        <v>0</v>
      </c>
    </row>
    <row r="17" spans="1:25" x14ac:dyDescent="0.2">
      <c r="A17" s="16"/>
      <c r="B17" s="17"/>
      <c r="C17" s="17"/>
      <c r="D17" s="16">
        <v>45729</v>
      </c>
      <c r="E17" s="17" t="s">
        <v>54</v>
      </c>
      <c r="F17" s="17">
        <v>400</v>
      </c>
      <c r="G17" s="17"/>
      <c r="H17" s="17" t="s">
        <v>230</v>
      </c>
      <c r="I17" s="17">
        <v>960</v>
      </c>
      <c r="J17" s="17" t="s">
        <v>48</v>
      </c>
      <c r="K17" s="17">
        <f t="shared" si="0"/>
        <v>960</v>
      </c>
      <c r="L17" s="17">
        <v>1000</v>
      </c>
      <c r="M17" s="17" t="str">
        <f t="shared" si="3"/>
        <v>Place Order</v>
      </c>
      <c r="N17" s="17" t="s">
        <v>37</v>
      </c>
      <c r="O17" s="16">
        <v>46275</v>
      </c>
      <c r="P17" s="44">
        <v>9.9</v>
      </c>
      <c r="Q17" s="40">
        <f t="shared" si="1"/>
        <v>9504</v>
      </c>
      <c r="R17" s="8"/>
      <c r="S17" s="8"/>
      <c r="T17" s="17"/>
      <c r="U17" s="17"/>
      <c r="V17" s="17"/>
      <c r="W17" s="17"/>
      <c r="X17" s="17"/>
      <c r="Y17" s="17">
        <f t="shared" si="2"/>
        <v>0</v>
      </c>
    </row>
    <row r="18" spans="1:25" x14ac:dyDescent="0.2">
      <c r="A18" s="16"/>
      <c r="B18" s="17"/>
      <c r="C18" s="17"/>
      <c r="D18" s="16">
        <v>45730</v>
      </c>
      <c r="E18" s="17" t="s">
        <v>54</v>
      </c>
      <c r="F18" s="17">
        <v>1000</v>
      </c>
      <c r="G18" s="17"/>
      <c r="H18" s="17" t="s">
        <v>231</v>
      </c>
      <c r="I18" s="17">
        <v>465</v>
      </c>
      <c r="J18" s="17" t="s">
        <v>47</v>
      </c>
      <c r="K18" s="17">
        <f t="shared" si="0"/>
        <v>0</v>
      </c>
      <c r="L18" s="17">
        <v>1000</v>
      </c>
      <c r="M18" s="17" t="str">
        <f t="shared" si="3"/>
        <v>Place Order</v>
      </c>
      <c r="N18" s="17" t="s">
        <v>35</v>
      </c>
      <c r="O18" s="16">
        <v>46103</v>
      </c>
      <c r="P18" s="44">
        <v>18.399999999999999</v>
      </c>
      <c r="Q18" s="40">
        <f t="shared" si="1"/>
        <v>0</v>
      </c>
      <c r="R18" s="8"/>
      <c r="S18" s="8"/>
      <c r="T18" s="17"/>
      <c r="U18" s="17"/>
      <c r="V18" s="17"/>
      <c r="W18" s="17"/>
      <c r="X18" s="17"/>
      <c r="Y18" s="17"/>
    </row>
    <row r="19" spans="1:25" x14ac:dyDescent="0.2">
      <c r="A19" s="16"/>
      <c r="B19" s="17"/>
      <c r="C19" s="17"/>
      <c r="D19" s="16">
        <v>45733</v>
      </c>
      <c r="E19" s="17" t="s">
        <v>62</v>
      </c>
      <c r="F19" s="17">
        <v>20</v>
      </c>
      <c r="G19" s="17"/>
      <c r="H19" s="17" t="s">
        <v>232</v>
      </c>
      <c r="I19" s="17">
        <v>0</v>
      </c>
      <c r="J19" s="17" t="s">
        <v>64</v>
      </c>
      <c r="K19" s="17">
        <f t="shared" si="0"/>
        <v>164</v>
      </c>
      <c r="L19" s="17">
        <v>500</v>
      </c>
      <c r="M19" s="17" t="str">
        <f t="shared" ref="M19:M33" si="4">IF((K19+Y19)&lt;L19,"Place Order","")</f>
        <v>Place Order</v>
      </c>
      <c r="N19" s="17" t="s">
        <v>35</v>
      </c>
      <c r="O19" s="16"/>
      <c r="P19" s="44">
        <v>37</v>
      </c>
      <c r="Q19" s="40">
        <f t="shared" si="1"/>
        <v>6068</v>
      </c>
      <c r="R19" s="8"/>
      <c r="S19" s="8"/>
      <c r="T19" s="17"/>
      <c r="U19" s="17"/>
      <c r="V19" s="17"/>
      <c r="W19" s="17"/>
      <c r="X19" s="17"/>
      <c r="Y19" s="17">
        <f t="shared" si="2"/>
        <v>0</v>
      </c>
    </row>
    <row r="20" spans="1:25" x14ac:dyDescent="0.2">
      <c r="A20" s="16"/>
      <c r="B20" s="17"/>
      <c r="C20" s="17"/>
      <c r="D20" s="16">
        <v>45733</v>
      </c>
      <c r="E20" s="17" t="s">
        <v>64</v>
      </c>
      <c r="F20" s="17">
        <v>84</v>
      </c>
      <c r="G20" s="17"/>
      <c r="H20" s="17" t="s">
        <v>233</v>
      </c>
      <c r="I20" s="17">
        <v>1500</v>
      </c>
      <c r="J20" s="17" t="s">
        <v>59</v>
      </c>
      <c r="K20" s="17">
        <f t="shared" si="0"/>
        <v>1500</v>
      </c>
      <c r="L20" s="17">
        <v>5000</v>
      </c>
      <c r="M20" s="17" t="str">
        <f t="shared" si="4"/>
        <v>Place Order</v>
      </c>
      <c r="N20" s="17" t="s">
        <v>37</v>
      </c>
      <c r="O20" s="16">
        <v>46117</v>
      </c>
      <c r="P20" s="44">
        <v>27.25</v>
      </c>
      <c r="Q20" s="40">
        <f t="shared" si="1"/>
        <v>40875</v>
      </c>
      <c r="R20" s="8"/>
      <c r="S20" s="8"/>
      <c r="T20" s="17"/>
      <c r="U20" s="17"/>
      <c r="V20" s="17"/>
      <c r="W20" s="17"/>
      <c r="X20" s="17"/>
      <c r="Y20" s="17">
        <f t="shared" si="2"/>
        <v>0</v>
      </c>
    </row>
    <row r="21" spans="1:25" x14ac:dyDescent="0.2">
      <c r="A21" s="16"/>
      <c r="B21" s="17"/>
      <c r="C21" s="17"/>
      <c r="D21" s="16">
        <v>45736</v>
      </c>
      <c r="E21" s="17" t="s">
        <v>47</v>
      </c>
      <c r="F21" s="17">
        <v>150</v>
      </c>
      <c r="G21" s="17"/>
      <c r="H21" s="17" t="s">
        <v>234</v>
      </c>
      <c r="I21" s="17">
        <v>500</v>
      </c>
      <c r="J21" s="17" t="s">
        <v>63</v>
      </c>
      <c r="K21" s="17">
        <f t="shared" si="0"/>
        <v>500</v>
      </c>
      <c r="L21" s="17">
        <v>1000</v>
      </c>
      <c r="M21" s="17" t="str">
        <f t="shared" si="4"/>
        <v>Place Order</v>
      </c>
      <c r="N21" s="17" t="s">
        <v>35</v>
      </c>
      <c r="O21" s="16">
        <v>46310</v>
      </c>
      <c r="P21" s="44">
        <v>7.84</v>
      </c>
      <c r="Q21" s="40">
        <f t="shared" si="1"/>
        <v>3920</v>
      </c>
      <c r="R21" s="8"/>
      <c r="S21" s="59"/>
      <c r="T21" s="17"/>
      <c r="U21" s="17"/>
      <c r="V21" s="17"/>
      <c r="W21" s="17"/>
      <c r="X21" s="17"/>
      <c r="Y21" s="17"/>
    </row>
    <row r="22" spans="1:25" x14ac:dyDescent="0.2">
      <c r="A22" s="16"/>
      <c r="B22" s="17"/>
      <c r="C22" s="17"/>
      <c r="D22" s="16">
        <v>45736</v>
      </c>
      <c r="E22" s="17" t="s">
        <v>252</v>
      </c>
      <c r="F22" s="17">
        <v>720</v>
      </c>
      <c r="G22" s="17"/>
      <c r="H22" s="17" t="s">
        <v>235</v>
      </c>
      <c r="I22" s="17">
        <v>0</v>
      </c>
      <c r="J22" s="17" t="s">
        <v>49</v>
      </c>
      <c r="K22" s="17">
        <f t="shared" si="0"/>
        <v>0</v>
      </c>
      <c r="L22" s="17">
        <v>5000</v>
      </c>
      <c r="M22" s="17" t="str">
        <f t="shared" si="4"/>
        <v>Place Order</v>
      </c>
      <c r="N22" s="17" t="s">
        <v>37</v>
      </c>
      <c r="O22" s="16">
        <v>46132</v>
      </c>
      <c r="P22" s="44">
        <v>3.95</v>
      </c>
      <c r="Q22" s="40">
        <f t="shared" si="1"/>
        <v>0</v>
      </c>
      <c r="R22" s="8"/>
      <c r="S22" s="8" t="s">
        <v>67</v>
      </c>
      <c r="T22" s="17"/>
      <c r="U22" s="17"/>
      <c r="V22" s="17"/>
      <c r="W22" s="17"/>
      <c r="X22" s="17"/>
      <c r="Y22" s="17">
        <f t="shared" si="2"/>
        <v>0</v>
      </c>
    </row>
    <row r="23" spans="1:25" x14ac:dyDescent="0.2">
      <c r="A23" s="16"/>
      <c r="B23" s="17"/>
      <c r="C23" s="17"/>
      <c r="D23" s="16">
        <v>45737</v>
      </c>
      <c r="E23" s="17" t="s">
        <v>252</v>
      </c>
      <c r="F23" s="17">
        <v>800</v>
      </c>
      <c r="G23" s="17"/>
      <c r="H23" s="17" t="s">
        <v>236</v>
      </c>
      <c r="I23" s="17">
        <v>0</v>
      </c>
      <c r="J23" s="17" t="s">
        <v>56</v>
      </c>
      <c r="K23" s="17">
        <f t="shared" si="0"/>
        <v>0</v>
      </c>
      <c r="L23" s="17">
        <v>500</v>
      </c>
      <c r="M23" s="17" t="str">
        <f t="shared" si="4"/>
        <v>Place Order</v>
      </c>
      <c r="N23" s="17" t="s">
        <v>37</v>
      </c>
      <c r="O23" s="16"/>
      <c r="P23" s="44"/>
      <c r="Q23" s="40">
        <f t="shared" si="1"/>
        <v>0</v>
      </c>
      <c r="R23" s="8"/>
      <c r="S23" s="8"/>
      <c r="T23" s="17"/>
      <c r="U23" s="17"/>
      <c r="V23" s="17"/>
      <c r="W23" s="17"/>
      <c r="X23" s="17"/>
      <c r="Y23" s="17">
        <f t="shared" si="2"/>
        <v>0</v>
      </c>
    </row>
    <row r="24" spans="1:25" x14ac:dyDescent="0.2">
      <c r="A24" s="16"/>
      <c r="B24" s="17"/>
      <c r="C24" s="17"/>
      <c r="D24" s="16">
        <v>45737</v>
      </c>
      <c r="E24" s="17" t="s">
        <v>47</v>
      </c>
      <c r="F24" s="17">
        <v>200</v>
      </c>
      <c r="G24" s="17"/>
      <c r="H24" s="17" t="s">
        <v>237</v>
      </c>
      <c r="I24" s="17">
        <v>0</v>
      </c>
      <c r="J24" s="17" t="s">
        <v>55</v>
      </c>
      <c r="K24" s="17">
        <f t="shared" si="0"/>
        <v>0</v>
      </c>
      <c r="L24" s="17">
        <v>500</v>
      </c>
      <c r="M24" s="17" t="str">
        <f t="shared" si="4"/>
        <v>Place Order</v>
      </c>
      <c r="N24" s="17" t="s">
        <v>37</v>
      </c>
      <c r="O24" s="16"/>
      <c r="P24" s="44">
        <v>10.5</v>
      </c>
      <c r="Q24" s="40">
        <f t="shared" si="1"/>
        <v>0</v>
      </c>
      <c r="R24" s="8"/>
      <c r="S24" s="8"/>
      <c r="T24" s="17"/>
      <c r="U24" s="17"/>
      <c r="V24" s="17"/>
      <c r="W24" s="17"/>
      <c r="X24" s="17"/>
      <c r="Y24" s="17">
        <f t="shared" si="2"/>
        <v>0</v>
      </c>
    </row>
    <row r="25" spans="1:25" x14ac:dyDescent="0.2">
      <c r="A25" s="16"/>
      <c r="B25" s="17"/>
      <c r="C25" s="17"/>
      <c r="D25" s="16">
        <v>45738</v>
      </c>
      <c r="E25" s="17" t="s">
        <v>197</v>
      </c>
      <c r="F25" s="17">
        <v>24</v>
      </c>
      <c r="G25" s="17"/>
      <c r="H25" s="17" t="s">
        <v>238</v>
      </c>
      <c r="I25" s="17">
        <v>0</v>
      </c>
      <c r="J25" s="17" t="s">
        <v>250</v>
      </c>
      <c r="K25" s="17">
        <f t="shared" si="0"/>
        <v>0</v>
      </c>
      <c r="L25" s="17">
        <v>100</v>
      </c>
      <c r="M25" s="17" t="str">
        <f t="shared" si="4"/>
        <v>Place Order</v>
      </c>
      <c r="N25" s="17" t="s">
        <v>37</v>
      </c>
      <c r="O25" s="16"/>
      <c r="P25" s="44"/>
      <c r="Q25" s="40">
        <f t="shared" si="1"/>
        <v>0</v>
      </c>
      <c r="R25" s="8"/>
      <c r="S25" s="8"/>
      <c r="T25" s="17"/>
      <c r="U25" s="17"/>
      <c r="V25" s="17"/>
      <c r="W25" s="17"/>
      <c r="X25" s="17"/>
      <c r="Y25" s="17"/>
    </row>
    <row r="26" spans="1:25" x14ac:dyDescent="0.2">
      <c r="A26" s="16"/>
      <c r="B26" s="17"/>
      <c r="C26" s="17"/>
      <c r="D26" s="16">
        <v>45738</v>
      </c>
      <c r="E26" s="17" t="s">
        <v>252</v>
      </c>
      <c r="F26" s="17">
        <v>480</v>
      </c>
      <c r="G26" s="17"/>
      <c r="H26" s="17" t="s">
        <v>239</v>
      </c>
      <c r="I26" s="17">
        <v>0</v>
      </c>
      <c r="J26" s="17" t="s">
        <v>205</v>
      </c>
      <c r="K26" s="17">
        <f t="shared" si="0"/>
        <v>0</v>
      </c>
      <c r="L26" s="17">
        <v>500</v>
      </c>
      <c r="M26" s="17" t="str">
        <f t="shared" si="4"/>
        <v>Place Order</v>
      </c>
      <c r="N26" s="17" t="s">
        <v>35</v>
      </c>
      <c r="O26" s="16"/>
      <c r="P26" s="44"/>
      <c r="Q26" s="40">
        <f t="shared" si="1"/>
        <v>0</v>
      </c>
      <c r="R26" s="8"/>
      <c r="S26" s="8"/>
      <c r="T26" s="17"/>
      <c r="U26" s="17"/>
      <c r="V26" s="17"/>
      <c r="W26" s="17"/>
      <c r="X26" s="17"/>
      <c r="Y26" s="17">
        <f t="shared" si="2"/>
        <v>0</v>
      </c>
    </row>
    <row r="27" spans="1:25" x14ac:dyDescent="0.2">
      <c r="A27" s="16"/>
      <c r="B27" s="17"/>
      <c r="C27" s="17"/>
      <c r="D27" s="16">
        <v>45738</v>
      </c>
      <c r="E27" s="17" t="s">
        <v>47</v>
      </c>
      <c r="F27" s="17">
        <v>65</v>
      </c>
      <c r="G27" s="17"/>
      <c r="H27" s="17" t="s">
        <v>240</v>
      </c>
      <c r="I27" s="17">
        <v>0</v>
      </c>
      <c r="J27" s="17" t="s">
        <v>50</v>
      </c>
      <c r="K27" s="17">
        <f t="shared" si="0"/>
        <v>0</v>
      </c>
      <c r="L27" s="17">
        <v>2000</v>
      </c>
      <c r="M27" s="17" t="str">
        <f t="shared" si="4"/>
        <v>Place Order</v>
      </c>
      <c r="N27" s="17" t="s">
        <v>37</v>
      </c>
      <c r="O27" s="16"/>
      <c r="P27" s="44"/>
      <c r="Q27" s="40">
        <f t="shared" si="1"/>
        <v>0</v>
      </c>
      <c r="R27" s="8"/>
      <c r="S27" s="8"/>
      <c r="T27" s="17"/>
      <c r="U27" s="17"/>
      <c r="V27" s="17"/>
      <c r="W27" s="17"/>
      <c r="X27" s="17"/>
      <c r="Y27" s="17">
        <f t="shared" si="2"/>
        <v>0</v>
      </c>
    </row>
    <row r="28" spans="1:25" x14ac:dyDescent="0.2">
      <c r="A28" s="16"/>
      <c r="B28" s="17"/>
      <c r="C28" s="17"/>
      <c r="D28" s="16">
        <v>45738</v>
      </c>
      <c r="E28" s="17" t="s">
        <v>64</v>
      </c>
      <c r="F28" s="17">
        <v>36</v>
      </c>
      <c r="G28" s="17"/>
      <c r="H28" s="17" t="s">
        <v>241</v>
      </c>
      <c r="I28" s="17">
        <v>0</v>
      </c>
      <c r="J28" s="17" t="s">
        <v>58</v>
      </c>
      <c r="K28" s="17">
        <f t="shared" si="0"/>
        <v>0</v>
      </c>
      <c r="L28" s="17">
        <v>1000</v>
      </c>
      <c r="M28" s="17" t="str">
        <f t="shared" si="4"/>
        <v>Place Order</v>
      </c>
      <c r="N28" s="17" t="s">
        <v>37</v>
      </c>
      <c r="O28" s="16"/>
      <c r="P28" s="44">
        <v>10.5</v>
      </c>
      <c r="Q28" s="40">
        <f t="shared" si="1"/>
        <v>0</v>
      </c>
      <c r="R28" s="8"/>
      <c r="S28" s="8"/>
      <c r="T28" s="17"/>
      <c r="U28" s="17"/>
      <c r="V28" s="17"/>
      <c r="W28" s="17"/>
      <c r="X28" s="17"/>
      <c r="Y28" s="17">
        <f t="shared" si="2"/>
        <v>0</v>
      </c>
    </row>
    <row r="29" spans="1:25" x14ac:dyDescent="0.2">
      <c r="A29" s="16"/>
      <c r="B29" s="17"/>
      <c r="C29" s="17"/>
      <c r="D29" s="16"/>
      <c r="E29" s="17"/>
      <c r="F29" s="17"/>
      <c r="G29" s="17"/>
      <c r="H29" s="17" t="s">
        <v>242</v>
      </c>
      <c r="I29" s="17">
        <v>20</v>
      </c>
      <c r="J29" s="17" t="s">
        <v>51</v>
      </c>
      <c r="K29" s="17">
        <f t="shared" si="0"/>
        <v>20</v>
      </c>
      <c r="L29" s="17">
        <v>500</v>
      </c>
      <c r="M29" s="17" t="str">
        <f t="shared" si="4"/>
        <v>Place Order</v>
      </c>
      <c r="N29" s="17" t="s">
        <v>35</v>
      </c>
      <c r="O29" s="16">
        <v>46320</v>
      </c>
      <c r="P29" s="44">
        <v>2.12</v>
      </c>
      <c r="Q29" s="40">
        <f t="shared" si="1"/>
        <v>42.400000000000006</v>
      </c>
      <c r="R29" s="8"/>
      <c r="S29" s="8"/>
      <c r="T29" s="17"/>
      <c r="U29" s="17"/>
      <c r="V29" s="17"/>
      <c r="W29" s="17"/>
      <c r="X29" s="17"/>
      <c r="Y29" s="17">
        <f t="shared" si="2"/>
        <v>0</v>
      </c>
    </row>
    <row r="30" spans="1:25" x14ac:dyDescent="0.2">
      <c r="A30" s="16"/>
      <c r="B30" s="17"/>
      <c r="C30" s="17"/>
      <c r="D30" s="16"/>
      <c r="E30" s="17"/>
      <c r="F30" s="17"/>
      <c r="G30" s="17"/>
      <c r="H30" s="17" t="s">
        <v>243</v>
      </c>
      <c r="I30" s="17">
        <v>0</v>
      </c>
      <c r="J30" s="17" t="s">
        <v>158</v>
      </c>
      <c r="K30" s="17">
        <f t="shared" si="0"/>
        <v>0</v>
      </c>
      <c r="L30" s="17">
        <v>5000</v>
      </c>
      <c r="M30" s="17" t="str">
        <f t="shared" si="4"/>
        <v>Place Order</v>
      </c>
      <c r="N30" s="17" t="s">
        <v>37</v>
      </c>
      <c r="O30" s="16"/>
      <c r="P30" s="44"/>
      <c r="Q30" s="40">
        <f t="shared" si="1"/>
        <v>0</v>
      </c>
      <c r="R30" s="8"/>
      <c r="S30" s="8"/>
      <c r="T30" s="17"/>
      <c r="U30" s="17"/>
      <c r="V30" s="17"/>
      <c r="W30" s="17"/>
      <c r="X30" s="17"/>
      <c r="Y30" s="17"/>
    </row>
    <row r="31" spans="1:25" x14ac:dyDescent="0.2">
      <c r="A31" s="16"/>
      <c r="B31" s="17"/>
      <c r="C31" s="17"/>
      <c r="D31" s="16"/>
      <c r="E31" s="17"/>
      <c r="F31" s="17"/>
      <c r="G31" s="17"/>
      <c r="H31" s="17" t="s">
        <v>244</v>
      </c>
      <c r="I31" s="17">
        <v>200</v>
      </c>
      <c r="J31" s="17" t="s">
        <v>65</v>
      </c>
      <c r="K31" s="17">
        <f t="shared" si="0"/>
        <v>200</v>
      </c>
      <c r="L31" s="17">
        <v>1000</v>
      </c>
      <c r="M31" s="17" t="str">
        <f t="shared" si="4"/>
        <v>Place Order</v>
      </c>
      <c r="N31" s="17" t="s">
        <v>37</v>
      </c>
      <c r="O31" s="16">
        <v>45858</v>
      </c>
      <c r="P31" s="44">
        <v>21.25</v>
      </c>
      <c r="Q31" s="40">
        <f t="shared" si="1"/>
        <v>4250</v>
      </c>
      <c r="R31" s="8" t="s">
        <v>67</v>
      </c>
      <c r="S31" s="8"/>
      <c r="T31" s="17"/>
      <c r="U31" s="17"/>
      <c r="V31" s="17"/>
      <c r="W31" s="17"/>
      <c r="X31" s="17"/>
      <c r="Y31" s="17">
        <f t="shared" si="2"/>
        <v>0</v>
      </c>
    </row>
    <row r="32" spans="1:25" x14ac:dyDescent="0.2">
      <c r="A32" s="16"/>
      <c r="B32" s="17"/>
      <c r="C32" s="17"/>
      <c r="D32" s="16"/>
      <c r="E32" s="17"/>
      <c r="F32" s="17"/>
      <c r="G32" s="17"/>
      <c r="H32" s="17" t="s">
        <v>245</v>
      </c>
      <c r="I32" s="17">
        <v>0</v>
      </c>
      <c r="J32" s="17" t="s">
        <v>66</v>
      </c>
      <c r="K32" s="17">
        <f t="shared" si="0"/>
        <v>0</v>
      </c>
      <c r="L32" s="17">
        <v>500</v>
      </c>
      <c r="M32" s="17" t="str">
        <f t="shared" si="4"/>
        <v>Place Order</v>
      </c>
      <c r="N32" s="17" t="s">
        <v>35</v>
      </c>
      <c r="O32" s="16"/>
      <c r="P32" s="45"/>
      <c r="Q32" s="40">
        <f t="shared" si="1"/>
        <v>0</v>
      </c>
      <c r="R32" s="8"/>
      <c r="S32" s="8"/>
      <c r="T32" s="17"/>
      <c r="U32" s="17"/>
      <c r="V32" s="17"/>
      <c r="W32" s="17"/>
      <c r="X32" s="17"/>
      <c r="Y32" s="17">
        <f t="shared" si="2"/>
        <v>0</v>
      </c>
    </row>
    <row r="33" spans="1:25" x14ac:dyDescent="0.2">
      <c r="A33" s="16"/>
      <c r="B33" s="17"/>
      <c r="C33" s="17"/>
      <c r="D33" s="16"/>
      <c r="E33" s="17"/>
      <c r="F33" s="17"/>
      <c r="G33" s="17"/>
      <c r="H33" s="17" t="s">
        <v>246</v>
      </c>
      <c r="I33" s="17">
        <v>260</v>
      </c>
      <c r="J33" s="17" t="s">
        <v>62</v>
      </c>
      <c r="K33" s="17">
        <f t="shared" si="0"/>
        <v>124</v>
      </c>
      <c r="L33" s="17">
        <v>400</v>
      </c>
      <c r="M33" s="17" t="str">
        <f t="shared" si="4"/>
        <v>Place Order</v>
      </c>
      <c r="N33" s="17" t="s">
        <v>35</v>
      </c>
      <c r="O33" s="16">
        <v>46361</v>
      </c>
      <c r="P33" s="44">
        <v>104.25</v>
      </c>
      <c r="Q33" s="40">
        <f t="shared" si="1"/>
        <v>12927</v>
      </c>
      <c r="R33" s="8"/>
      <c r="S33" s="8"/>
      <c r="T33" s="17"/>
      <c r="U33" s="17"/>
      <c r="V33" s="17"/>
      <c r="W33" s="17"/>
      <c r="X33" s="17"/>
      <c r="Y33" s="17">
        <f t="shared" si="2"/>
        <v>0</v>
      </c>
    </row>
    <row r="34" spans="1:25" x14ac:dyDescent="0.2">
      <c r="A34" s="16"/>
      <c r="B34" s="17"/>
      <c r="C34" s="17"/>
      <c r="D34" s="16"/>
      <c r="E34" s="17"/>
      <c r="F34" s="17"/>
      <c r="G34" s="17"/>
      <c r="H34" s="17" t="s">
        <v>247</v>
      </c>
      <c r="I34" s="17">
        <v>6620</v>
      </c>
      <c r="J34" s="17" t="s">
        <v>54</v>
      </c>
      <c r="K34" s="17">
        <f t="shared" si="0"/>
        <v>3620</v>
      </c>
      <c r="L34" s="17">
        <v>1000</v>
      </c>
      <c r="M34" s="17" t="str">
        <f>IF((K34+Y35)&lt;L34,"Place Order","")</f>
        <v/>
      </c>
      <c r="N34" s="17" t="s">
        <v>37</v>
      </c>
      <c r="O34" s="16">
        <v>46713</v>
      </c>
      <c r="P34" s="44">
        <v>3.6</v>
      </c>
      <c r="Q34" s="40">
        <f t="shared" si="1"/>
        <v>13032</v>
      </c>
      <c r="R34" s="8"/>
      <c r="S34" s="8"/>
      <c r="T34" s="17"/>
      <c r="U34" s="17"/>
      <c r="V34" s="17"/>
      <c r="W34" s="17"/>
      <c r="X34" s="17"/>
      <c r="Y34" s="17"/>
    </row>
    <row r="35" spans="1:25" x14ac:dyDescent="0.2">
      <c r="A35" s="16"/>
      <c r="B35" s="17"/>
      <c r="C35" s="17"/>
      <c r="D35" s="16"/>
      <c r="E35" s="17"/>
      <c r="F35" s="17"/>
      <c r="G35" s="17"/>
      <c r="H35" s="17" t="s">
        <v>248</v>
      </c>
      <c r="I35" s="17">
        <v>0</v>
      </c>
      <c r="J35" s="17" t="s">
        <v>61</v>
      </c>
      <c r="K35" s="17">
        <f t="shared" si="0"/>
        <v>0</v>
      </c>
      <c r="L35" s="17">
        <v>1000</v>
      </c>
      <c r="M35" s="17" t="str">
        <f>IF((K35+Y36)&lt;L35,"Place Order","")</f>
        <v>Place Order</v>
      </c>
      <c r="N35" s="17" t="s">
        <v>37</v>
      </c>
      <c r="O35" s="16"/>
      <c r="P35" s="44"/>
      <c r="Q35" s="40">
        <f t="shared" si="1"/>
        <v>0</v>
      </c>
      <c r="R35" s="8"/>
      <c r="S35" s="8"/>
      <c r="T35" s="17"/>
      <c r="U35" s="17"/>
      <c r="V35" s="17"/>
      <c r="W35" s="17"/>
      <c r="X35" s="17"/>
      <c r="Y35" s="17"/>
    </row>
    <row r="36" spans="1:25" x14ac:dyDescent="0.2">
      <c r="A36" s="16"/>
      <c r="B36" s="17"/>
      <c r="C36" s="17"/>
      <c r="D36" s="16"/>
      <c r="E36" s="17"/>
      <c r="F36" s="17"/>
      <c r="G36" s="17"/>
      <c r="H36" s="17" t="s">
        <v>249</v>
      </c>
      <c r="I36" s="17">
        <v>9000</v>
      </c>
      <c r="J36" s="17" t="s">
        <v>252</v>
      </c>
      <c r="K36" s="17">
        <f t="shared" si="0"/>
        <v>7000</v>
      </c>
      <c r="L36" s="17">
        <v>5000</v>
      </c>
      <c r="M36" s="17" t="str">
        <f>IF((K36+Y34)&lt;L36,"Place Order","")</f>
        <v/>
      </c>
      <c r="N36" s="17" t="s">
        <v>37</v>
      </c>
      <c r="O36" s="16">
        <v>46215</v>
      </c>
      <c r="P36" s="44">
        <v>2.4</v>
      </c>
      <c r="Q36" s="40">
        <f t="shared" si="1"/>
        <v>16800</v>
      </c>
      <c r="R36" s="8"/>
      <c r="S36" s="8"/>
      <c r="T36" s="17"/>
      <c r="U36" s="17"/>
      <c r="V36" s="17"/>
      <c r="W36" s="17"/>
      <c r="X36" s="17"/>
      <c r="Y36" s="17">
        <f t="shared" si="2"/>
        <v>0</v>
      </c>
    </row>
    <row r="37" spans="1:25" x14ac:dyDescent="0.2">
      <c r="H37" s="17" t="s">
        <v>256</v>
      </c>
      <c r="I37" s="17">
        <v>0</v>
      </c>
      <c r="J37" s="17" t="s">
        <v>251</v>
      </c>
      <c r="K37" s="17">
        <f t="shared" si="0"/>
        <v>0</v>
      </c>
      <c r="L37" s="17">
        <v>1000</v>
      </c>
      <c r="M37" s="17" t="str">
        <f t="shared" ref="M37:M41" si="5">IF((K37+Y35)&lt;L37,"Place Order","")</f>
        <v>Place Order</v>
      </c>
      <c r="N37" s="17" t="s">
        <v>37</v>
      </c>
      <c r="O37" s="16">
        <v>46045</v>
      </c>
      <c r="P37" s="44">
        <v>2.2000000000000002</v>
      </c>
      <c r="Q37" s="40">
        <f t="shared" si="1"/>
        <v>0</v>
      </c>
    </row>
    <row r="38" spans="1:25" x14ac:dyDescent="0.2">
      <c r="H38" s="17" t="s">
        <v>257</v>
      </c>
      <c r="I38" s="17">
        <v>472</v>
      </c>
      <c r="J38" s="17" t="s">
        <v>255</v>
      </c>
      <c r="K38" s="17">
        <f t="shared" si="0"/>
        <v>472</v>
      </c>
      <c r="L38" s="17">
        <v>1000</v>
      </c>
      <c r="M38" s="17" t="str">
        <f t="shared" si="5"/>
        <v>Place Order</v>
      </c>
      <c r="N38" s="17" t="s">
        <v>37</v>
      </c>
      <c r="O38" s="16">
        <v>45984</v>
      </c>
      <c r="P38" s="44">
        <v>3.41</v>
      </c>
      <c r="Q38" s="40">
        <f t="shared" si="1"/>
        <v>1609.52</v>
      </c>
    </row>
    <row r="39" spans="1:25" x14ac:dyDescent="0.2">
      <c r="H39" s="17" t="s">
        <v>626</v>
      </c>
      <c r="I39" s="17">
        <v>2500</v>
      </c>
      <c r="J39" s="17" t="s">
        <v>625</v>
      </c>
      <c r="K39" s="17">
        <f t="shared" si="0"/>
        <v>2500</v>
      </c>
      <c r="L39" s="17">
        <v>1000</v>
      </c>
      <c r="M39" s="17" t="str">
        <f t="shared" si="5"/>
        <v/>
      </c>
      <c r="N39" s="17" t="s">
        <v>37</v>
      </c>
      <c r="O39" s="16">
        <v>46327</v>
      </c>
      <c r="P39" s="17">
        <v>6.05</v>
      </c>
      <c r="Q39" s="40">
        <f t="shared" si="1"/>
        <v>15125</v>
      </c>
    </row>
    <row r="40" spans="1:25" x14ac:dyDescent="0.2">
      <c r="H40" s="17" t="s">
        <v>635</v>
      </c>
      <c r="I40" s="17">
        <v>4000</v>
      </c>
      <c r="J40" s="17" t="s">
        <v>627</v>
      </c>
      <c r="K40" s="17">
        <f t="shared" si="0"/>
        <v>4000</v>
      </c>
      <c r="L40" s="17">
        <v>1000</v>
      </c>
      <c r="M40" s="17" t="str">
        <f t="shared" si="5"/>
        <v/>
      </c>
      <c r="N40" s="17" t="s">
        <v>37</v>
      </c>
      <c r="O40" s="16">
        <v>46266</v>
      </c>
      <c r="P40" s="17">
        <v>6.55</v>
      </c>
      <c r="Q40" s="40">
        <f t="shared" si="1"/>
        <v>26200</v>
      </c>
    </row>
    <row r="41" spans="1:25" x14ac:dyDescent="0.2">
      <c r="H41" s="17" t="s">
        <v>636</v>
      </c>
      <c r="I41" s="17">
        <v>0</v>
      </c>
      <c r="J41" s="17" t="s">
        <v>637</v>
      </c>
      <c r="K41" s="17">
        <f t="shared" si="0"/>
        <v>0</v>
      </c>
      <c r="L41" s="17">
        <v>1000</v>
      </c>
      <c r="M41" s="17" t="str">
        <f t="shared" si="5"/>
        <v>Place Order</v>
      </c>
      <c r="N41" s="17" t="s">
        <v>35</v>
      </c>
      <c r="O41" s="16"/>
      <c r="P41" s="17">
        <v>1.35</v>
      </c>
      <c r="Q41" s="40">
        <f t="shared" si="1"/>
        <v>0</v>
      </c>
    </row>
    <row r="48" spans="1:25" x14ac:dyDescent="0.2">
      <c r="H48" s="17" t="str" cm="1">
        <f t="array" ref="H48:I54">_xlfn.GROUPBY(E5:E20,F5:F20,_xleta.SUM)</f>
        <v>Actalic</v>
      </c>
      <c r="I48" s="17">
        <v>40</v>
      </c>
    </row>
    <row r="49" spans="8:9" x14ac:dyDescent="0.2">
      <c r="H49" s="17" t="str">
        <v>Glyphosate</v>
      </c>
      <c r="I49" s="17">
        <v>1000</v>
      </c>
    </row>
    <row r="50" spans="8:9" x14ac:dyDescent="0.2">
      <c r="H50" s="17" t="str">
        <v>Homai</v>
      </c>
      <c r="I50" s="17">
        <v>50</v>
      </c>
    </row>
    <row r="51" spans="8:9" x14ac:dyDescent="0.2">
      <c r="H51" s="17" t="str">
        <v xml:space="preserve">Imidacloprid </v>
      </c>
      <c r="I51" s="17">
        <v>100</v>
      </c>
    </row>
    <row r="52" spans="8:9" x14ac:dyDescent="0.2">
      <c r="H52" s="17" t="str">
        <v>Verteco</v>
      </c>
      <c r="I52" s="17">
        <v>136</v>
      </c>
    </row>
    <row r="53" spans="8:9" x14ac:dyDescent="0.2">
      <c r="H53" s="17" t="str">
        <v>Wuxal K40</v>
      </c>
      <c r="I53" s="17">
        <v>3000</v>
      </c>
    </row>
    <row r="54" spans="8:9" x14ac:dyDescent="0.2">
      <c r="H54" s="17" t="str">
        <v>Total</v>
      </c>
      <c r="I54" s="17">
        <v>4326</v>
      </c>
    </row>
    <row r="55" spans="8:9" x14ac:dyDescent="0.2">
      <c r="H55" s="17"/>
      <c r="I55" s="17"/>
    </row>
    <row r="56" spans="8:9" x14ac:dyDescent="0.2">
      <c r="H56" s="17"/>
      <c r="I56" s="17"/>
    </row>
    <row r="57" spans="8:9" x14ac:dyDescent="0.2">
      <c r="H57" s="17"/>
      <c r="I57" s="17"/>
    </row>
  </sheetData>
  <autoFilter ref="E1:E57" xr:uid="{62A6EB43-1AAD-C64A-AD8D-2F69D8888887}"/>
  <mergeCells count="12">
    <mergeCell ref="P3:P4"/>
    <mergeCell ref="Q3:Q4"/>
    <mergeCell ref="A1:R1"/>
    <mergeCell ref="A3:C3"/>
    <mergeCell ref="D3:F3"/>
    <mergeCell ref="H3:H4"/>
    <mergeCell ref="I3:I4"/>
    <mergeCell ref="J3:K3"/>
    <mergeCell ref="L3:L4"/>
    <mergeCell ref="M3:M4"/>
    <mergeCell ref="N3:N4"/>
    <mergeCell ref="O3:O4"/>
  </mergeCells>
  <phoneticPr fontId="3" type="noConversion"/>
  <conditionalFormatting sqref="M5:N38 R19:R36 P33 M39:M41">
    <cfRule type="containsText" dxfId="21" priority="7" operator="containsText" text="Place Order">
      <formula>NOT(ISERROR(SEARCH("Place Order",M5)))</formula>
    </cfRule>
  </conditionalFormatting>
  <conditionalFormatting sqref="O5:O26 O28:O41">
    <cfRule type="expression" dxfId="20" priority="4" stopIfTrue="1">
      <formula>$O5&gt;TODAY()+90</formula>
    </cfRule>
    <cfRule type="expression" dxfId="19" priority="5" stopIfTrue="1">
      <formula>$O5&lt;TODAY()</formula>
    </cfRule>
    <cfRule type="expression" dxfId="18" priority="6" stopIfTrue="1">
      <formula>OR($O5&gt;=TODAY(),$O5&lt;=TODAY()+90)</formula>
    </cfRule>
  </conditionalFormatting>
  <conditionalFormatting sqref="P38">
    <cfRule type="containsText" dxfId="17" priority="1" operator="containsText" text="Place Order">
      <formula>NOT(ISERROR(SEARCH("Place Order",P38)))</formula>
    </cfRule>
  </conditionalFormatting>
  <dataValidations count="2">
    <dataValidation type="list" allowBlank="1" showInputMessage="1" showErrorMessage="1" sqref="E1:E4 E37:E1048576" xr:uid="{520056E8-0B96-EC43-9DCA-15BDC1270208}">
      <formula1>$J$5:$J$40</formula1>
    </dataValidation>
    <dataValidation type="list" allowBlank="1" showInputMessage="1" showErrorMessage="1" sqref="E5:E36 J19 B4:B37" xr:uid="{5BC13BF1-0C3A-534C-889C-ACE9B73F4727}">
      <formula1>$J$5:$J$41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7345-8713-4841-BF6F-A1242CBB3EDE}">
  <dimension ref="A1:Y24"/>
  <sheetViews>
    <sheetView zoomScale="130" zoomScaleNormal="130" workbookViewId="0">
      <pane ySplit="4" topLeftCell="A5" activePane="bottomLeft" state="frozen"/>
      <selection pane="bottomLeft" activeCell="D25" sqref="D25"/>
    </sheetView>
  </sheetViews>
  <sheetFormatPr baseColWidth="10" defaultColWidth="9.1640625" defaultRowHeight="14" x14ac:dyDescent="0.2"/>
  <cols>
    <col min="1" max="1" width="9.83203125" style="1" bestFit="1" customWidth="1"/>
    <col min="2" max="2" width="13.33203125" style="1" customWidth="1"/>
    <col min="3" max="3" width="9.33203125" style="1" bestFit="1" customWidth="1"/>
    <col min="4" max="4" width="10.1640625" style="1" bestFit="1" customWidth="1"/>
    <col min="5" max="5" width="13.33203125" style="1" customWidth="1"/>
    <col min="6" max="6" width="8.83203125" style="1" customWidth="1"/>
    <col min="7" max="7" width="3.5" style="1" customWidth="1"/>
    <col min="8" max="8" width="16.33203125" style="1" bestFit="1" customWidth="1"/>
    <col min="9" max="9" width="9.5" style="1" customWidth="1"/>
    <col min="10" max="10" width="13.83203125" style="1" customWidth="1"/>
    <col min="11" max="11" width="9.33203125" style="1" bestFit="1" customWidth="1"/>
    <col min="12" max="12" width="10.5" style="1" customWidth="1"/>
    <col min="13" max="13" width="12.33203125" style="1" customWidth="1"/>
    <col min="14" max="14" width="5.83203125" style="1" customWidth="1"/>
    <col min="15" max="15" width="10.33203125" style="1" bestFit="1" customWidth="1"/>
    <col min="16" max="16" width="10.33203125" style="1" customWidth="1"/>
    <col min="17" max="17" width="12.33203125" style="1" customWidth="1"/>
    <col min="18" max="18" width="22.5" style="1" bestFit="1" customWidth="1"/>
    <col min="19" max="19" width="9.83203125" style="1" bestFit="1" customWidth="1"/>
    <col min="20" max="24" width="9.1640625" style="1"/>
    <col min="25" max="25" width="11.1640625" style="1" bestFit="1" customWidth="1"/>
    <col min="26" max="16384" width="9.1640625" style="1"/>
  </cols>
  <sheetData>
    <row r="1" spans="1:25" ht="20" x14ac:dyDescent="0.2">
      <c r="A1" s="99" t="s">
        <v>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" t="s">
        <v>15</v>
      </c>
      <c r="T1" s="5" t="s">
        <v>11</v>
      </c>
      <c r="U1" s="5" t="s">
        <v>11</v>
      </c>
      <c r="V1" s="5"/>
      <c r="W1" s="5"/>
      <c r="X1" s="5"/>
    </row>
    <row r="2" spans="1:25" x14ac:dyDescent="0.2">
      <c r="A2" s="10" t="s">
        <v>631</v>
      </c>
      <c r="B2" s="8"/>
      <c r="C2" s="8" t="s">
        <v>157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5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81" t="s">
        <v>21</v>
      </c>
      <c r="I3" s="83" t="s">
        <v>12</v>
      </c>
      <c r="J3" s="85" t="s">
        <v>10</v>
      </c>
      <c r="K3" s="85"/>
      <c r="L3" s="83" t="s">
        <v>13</v>
      </c>
      <c r="M3" s="86" t="s">
        <v>3</v>
      </c>
      <c r="N3" s="77" t="s">
        <v>32</v>
      </c>
      <c r="O3" s="77" t="s">
        <v>42</v>
      </c>
      <c r="P3" s="77" t="s">
        <v>253</v>
      </c>
      <c r="Q3" s="77" t="s">
        <v>254</v>
      </c>
      <c r="R3" s="8"/>
      <c r="S3" s="10" t="s">
        <v>14</v>
      </c>
      <c r="T3" s="8"/>
      <c r="U3" s="8"/>
      <c r="V3" s="8"/>
      <c r="W3" s="8"/>
      <c r="X3" s="8"/>
      <c r="Y3" s="8"/>
    </row>
    <row r="4" spans="1:25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82"/>
      <c r="I4" s="84"/>
      <c r="J4" s="14" t="s">
        <v>2</v>
      </c>
      <c r="K4" s="14" t="s">
        <v>1</v>
      </c>
      <c r="L4" s="84"/>
      <c r="M4" s="87"/>
      <c r="N4" s="77"/>
      <c r="O4" s="77"/>
      <c r="P4" s="77"/>
      <c r="Q4" s="77"/>
      <c r="R4" s="8" t="s">
        <v>71</v>
      </c>
      <c r="S4" s="8"/>
      <c r="T4" s="15">
        <v>44080</v>
      </c>
      <c r="U4" s="15">
        <v>44092</v>
      </c>
      <c r="V4" s="15"/>
      <c r="W4" s="15"/>
      <c r="X4" s="15"/>
      <c r="Y4" s="15" t="s">
        <v>6</v>
      </c>
    </row>
    <row r="5" spans="1:25" x14ac:dyDescent="0.15">
      <c r="A5" s="16">
        <v>45723</v>
      </c>
      <c r="B5" s="17" t="s">
        <v>645</v>
      </c>
      <c r="C5" s="17">
        <v>5</v>
      </c>
      <c r="D5" s="16">
        <v>45569</v>
      </c>
      <c r="E5" s="17" t="s">
        <v>461</v>
      </c>
      <c r="F5" s="17">
        <v>1</v>
      </c>
      <c r="G5" s="17"/>
      <c r="H5" s="56" t="s">
        <v>471</v>
      </c>
      <c r="I5" s="17">
        <v>0</v>
      </c>
      <c r="J5" s="56" t="s">
        <v>453</v>
      </c>
      <c r="K5" s="17">
        <f t="shared" ref="K5:K23" si="0">I5+SUMIF($B$5:$B$23,J5,$C$5:$C$23)-SUMIF($E$5:$E$23,J5,$F$5:$F$23)</f>
        <v>0</v>
      </c>
      <c r="L5" s="17">
        <v>2</v>
      </c>
      <c r="M5" s="17" t="str">
        <f>IF((K5+Y5)&lt;L5,"Place Order","")</f>
        <v>Place Order</v>
      </c>
      <c r="N5" s="17" t="s">
        <v>465</v>
      </c>
      <c r="O5" s="16"/>
      <c r="P5" s="57"/>
      <c r="Q5" s="40">
        <f>K5*P5</f>
        <v>0</v>
      </c>
      <c r="R5" s="34" t="s">
        <v>72</v>
      </c>
      <c r="S5" s="8"/>
      <c r="T5" s="17"/>
      <c r="U5" s="17"/>
      <c r="V5" s="17"/>
      <c r="W5" s="17"/>
      <c r="X5" s="17"/>
      <c r="Y5" s="17">
        <f>SUMIF($T$1:$X$1,"T",T5:X5)</f>
        <v>0</v>
      </c>
    </row>
    <row r="6" spans="1:25" x14ac:dyDescent="0.15">
      <c r="A6" s="16"/>
      <c r="B6" s="17"/>
      <c r="C6" s="17"/>
      <c r="D6" s="16">
        <v>45572</v>
      </c>
      <c r="E6" s="17" t="s">
        <v>454</v>
      </c>
      <c r="F6" s="17">
        <v>2</v>
      </c>
      <c r="G6" s="17"/>
      <c r="H6" s="56" t="s">
        <v>643</v>
      </c>
      <c r="I6" s="17">
        <v>0</v>
      </c>
      <c r="J6" s="56" t="s">
        <v>449</v>
      </c>
      <c r="K6" s="17">
        <f t="shared" si="0"/>
        <v>0</v>
      </c>
      <c r="L6" s="17">
        <v>2</v>
      </c>
      <c r="M6" s="17" t="str">
        <f>IF((K6+Y14)&lt;L6,"Place Order","")</f>
        <v>Place Order</v>
      </c>
      <c r="N6" s="17" t="s">
        <v>77</v>
      </c>
      <c r="O6" s="16"/>
      <c r="P6" s="57">
        <v>575</v>
      </c>
      <c r="Q6" s="40">
        <f t="shared" ref="Q6:Q8" si="1">K6*P6</f>
        <v>0</v>
      </c>
      <c r="R6" s="35" t="s">
        <v>73</v>
      </c>
      <c r="S6" s="8"/>
      <c r="T6" s="17"/>
      <c r="U6" s="17"/>
      <c r="V6" s="17"/>
      <c r="W6" s="17"/>
      <c r="X6" s="17"/>
      <c r="Y6" s="17"/>
    </row>
    <row r="7" spans="1:25" x14ac:dyDescent="0.15">
      <c r="A7" s="16"/>
      <c r="B7" s="17"/>
      <c r="C7" s="17"/>
      <c r="D7" s="16">
        <v>45573</v>
      </c>
      <c r="E7" s="17" t="s">
        <v>459</v>
      </c>
      <c r="F7" s="17">
        <v>1</v>
      </c>
      <c r="G7" s="17"/>
      <c r="H7" s="56" t="s">
        <v>467</v>
      </c>
      <c r="I7" s="17">
        <v>0</v>
      </c>
      <c r="J7" s="56" t="s">
        <v>450</v>
      </c>
      <c r="K7" s="17">
        <f t="shared" si="0"/>
        <v>-2</v>
      </c>
      <c r="L7" s="17">
        <v>5</v>
      </c>
      <c r="M7" s="17" t="str">
        <f>IF((K7+Y16)&lt;L7,"Place Order","")</f>
        <v>Place Order</v>
      </c>
      <c r="N7" s="17" t="s">
        <v>77</v>
      </c>
      <c r="O7" s="46"/>
      <c r="P7" s="57">
        <v>370</v>
      </c>
      <c r="Q7" s="40">
        <f t="shared" si="1"/>
        <v>-740</v>
      </c>
      <c r="R7" s="36" t="s">
        <v>74</v>
      </c>
      <c r="S7" s="8"/>
      <c r="T7" s="17"/>
      <c r="U7" s="17"/>
      <c r="V7" s="17"/>
      <c r="W7" s="17"/>
      <c r="X7" s="17"/>
      <c r="Y7" s="17"/>
    </row>
    <row r="8" spans="1:25" x14ac:dyDescent="0.15">
      <c r="A8" s="16"/>
      <c r="B8" s="17"/>
      <c r="C8" s="17"/>
      <c r="D8" s="16">
        <v>45579</v>
      </c>
      <c r="E8" s="17" t="s">
        <v>450</v>
      </c>
      <c r="F8" s="17">
        <v>2</v>
      </c>
      <c r="G8" s="17"/>
      <c r="H8" s="56" t="s">
        <v>468</v>
      </c>
      <c r="I8" s="17">
        <v>0</v>
      </c>
      <c r="J8" s="56" t="s">
        <v>507</v>
      </c>
      <c r="K8" s="17">
        <f t="shared" si="0"/>
        <v>0</v>
      </c>
      <c r="L8" s="17">
        <v>5</v>
      </c>
      <c r="M8" s="17" t="str">
        <f>IF((K8+Y10)&lt;L8,"Place Order","")</f>
        <v>Place Order</v>
      </c>
      <c r="N8" s="17" t="s">
        <v>77</v>
      </c>
      <c r="O8" s="16"/>
      <c r="P8" s="57">
        <v>53</v>
      </c>
      <c r="Q8" s="40">
        <f t="shared" si="1"/>
        <v>0</v>
      </c>
      <c r="R8" s="8"/>
      <c r="S8" s="8"/>
      <c r="T8" s="17"/>
      <c r="U8" s="17"/>
      <c r="V8" s="17"/>
      <c r="W8" s="17"/>
      <c r="X8" s="17"/>
      <c r="Y8" s="17"/>
    </row>
    <row r="9" spans="1:25" x14ac:dyDescent="0.15">
      <c r="A9" s="16"/>
      <c r="B9" s="17"/>
      <c r="C9" s="17"/>
      <c r="D9" s="16">
        <v>45579</v>
      </c>
      <c r="E9" s="17" t="s">
        <v>462</v>
      </c>
      <c r="F9" s="17">
        <v>2</v>
      </c>
      <c r="G9" s="17"/>
      <c r="H9" s="56" t="s">
        <v>469</v>
      </c>
      <c r="I9" s="17">
        <v>0</v>
      </c>
      <c r="J9" s="56" t="s">
        <v>509</v>
      </c>
      <c r="K9" s="17">
        <f t="shared" si="0"/>
        <v>-1</v>
      </c>
      <c r="L9" s="17">
        <v>2</v>
      </c>
      <c r="M9" s="17" t="str">
        <f>IF((K9+Y11)&lt;L9,"Place Order","")</f>
        <v>Place Order</v>
      </c>
      <c r="N9" s="17" t="s">
        <v>35</v>
      </c>
      <c r="O9" s="16"/>
      <c r="P9" s="57">
        <v>200</v>
      </c>
      <c r="Q9" s="40">
        <f t="shared" ref="Q9:Q23" si="2">K9*P9</f>
        <v>-200</v>
      </c>
      <c r="R9" s="8"/>
      <c r="S9" s="8"/>
      <c r="T9" s="17"/>
      <c r="U9" s="17"/>
      <c r="V9" s="17"/>
      <c r="W9" s="17"/>
      <c r="X9" s="17"/>
      <c r="Y9" s="17"/>
    </row>
    <row r="10" spans="1:25" x14ac:dyDescent="0.15">
      <c r="A10" s="16"/>
      <c r="B10" s="17"/>
      <c r="C10" s="17"/>
      <c r="D10" s="16">
        <v>45579</v>
      </c>
      <c r="E10" s="17" t="s">
        <v>458</v>
      </c>
      <c r="F10" s="17">
        <v>1</v>
      </c>
      <c r="G10" s="17"/>
      <c r="H10" s="56" t="s">
        <v>470</v>
      </c>
      <c r="I10" s="17">
        <v>0</v>
      </c>
      <c r="J10" s="56" t="s">
        <v>508</v>
      </c>
      <c r="K10" s="17">
        <f t="shared" si="0"/>
        <v>0</v>
      </c>
      <c r="L10" s="17">
        <v>5</v>
      </c>
      <c r="M10" s="17" t="str">
        <f>IF((K10+Y10)&lt;L10,"Place Order","")</f>
        <v>Place Order</v>
      </c>
      <c r="N10" s="17" t="s">
        <v>77</v>
      </c>
      <c r="O10" s="16"/>
      <c r="P10" s="57">
        <v>100</v>
      </c>
      <c r="Q10" s="40">
        <f t="shared" si="2"/>
        <v>0</v>
      </c>
      <c r="S10" s="8"/>
      <c r="T10" s="17"/>
      <c r="U10" s="17"/>
      <c r="V10" s="17"/>
      <c r="W10" s="17"/>
      <c r="X10" s="17"/>
      <c r="Y10" s="17">
        <f t="shared" ref="Y10:Y23" si="3">SUMIF($T$1:$X$1,"T",T10:X10)</f>
        <v>0</v>
      </c>
    </row>
    <row r="11" spans="1:25" x14ac:dyDescent="0.15">
      <c r="A11" s="37"/>
      <c r="B11" s="17"/>
      <c r="C11" s="17"/>
      <c r="D11" s="37">
        <v>45579</v>
      </c>
      <c r="E11" s="17" t="s">
        <v>459</v>
      </c>
      <c r="F11" s="17">
        <v>1</v>
      </c>
      <c r="G11" s="17"/>
      <c r="H11" s="56" t="s">
        <v>471</v>
      </c>
      <c r="I11" s="17">
        <v>0</v>
      </c>
      <c r="J11" s="56" t="s">
        <v>453</v>
      </c>
      <c r="K11" s="17">
        <f t="shared" si="0"/>
        <v>0</v>
      </c>
      <c r="L11" s="17">
        <v>2</v>
      </c>
      <c r="M11" s="17" t="str">
        <f>IF((K11+Y16)&lt;L11,"Place Order","")</f>
        <v>Place Order</v>
      </c>
      <c r="N11" s="17" t="s">
        <v>77</v>
      </c>
      <c r="O11" s="16"/>
      <c r="P11" s="57"/>
      <c r="Q11" s="40">
        <f t="shared" si="2"/>
        <v>0</v>
      </c>
      <c r="S11" s="8"/>
      <c r="T11" s="17"/>
      <c r="U11" s="17"/>
      <c r="V11" s="17"/>
      <c r="W11" s="17"/>
      <c r="X11" s="17"/>
      <c r="Y11" s="17">
        <f t="shared" si="3"/>
        <v>0</v>
      </c>
    </row>
    <row r="12" spans="1:25" x14ac:dyDescent="0.15">
      <c r="A12" s="37"/>
      <c r="B12" s="17"/>
      <c r="C12" s="17"/>
      <c r="D12" s="37">
        <v>45579</v>
      </c>
      <c r="E12" s="17" t="s">
        <v>460</v>
      </c>
      <c r="F12" s="17">
        <v>2</v>
      </c>
      <c r="G12" s="17"/>
      <c r="H12" s="56" t="s">
        <v>472</v>
      </c>
      <c r="I12" s="17">
        <v>0</v>
      </c>
      <c r="J12" s="56" t="s">
        <v>455</v>
      </c>
      <c r="K12" s="17">
        <f t="shared" si="0"/>
        <v>-2</v>
      </c>
      <c r="L12" s="17">
        <v>5</v>
      </c>
      <c r="M12" s="17" t="str">
        <f>IF((K12+Y16)&lt;L12,"Place Order","")</f>
        <v>Place Order</v>
      </c>
      <c r="N12" s="17" t="s">
        <v>34</v>
      </c>
      <c r="O12" s="16"/>
      <c r="P12" s="57">
        <v>400</v>
      </c>
      <c r="Q12" s="40">
        <f t="shared" si="2"/>
        <v>-800</v>
      </c>
      <c r="R12" s="8"/>
      <c r="S12" s="8"/>
      <c r="T12" s="17"/>
      <c r="U12" s="17"/>
      <c r="V12" s="17"/>
      <c r="W12" s="17"/>
      <c r="X12" s="17"/>
      <c r="Y12" s="17">
        <f t="shared" si="3"/>
        <v>0</v>
      </c>
    </row>
    <row r="13" spans="1:25" x14ac:dyDescent="0.15">
      <c r="A13" s="37"/>
      <c r="B13" s="17"/>
      <c r="C13" s="17"/>
      <c r="D13" s="37">
        <v>45580</v>
      </c>
      <c r="E13" s="17" t="s">
        <v>456</v>
      </c>
      <c r="F13" s="17">
        <v>1</v>
      </c>
      <c r="G13" s="17"/>
      <c r="H13" s="56" t="s">
        <v>473</v>
      </c>
      <c r="I13" s="17">
        <v>0</v>
      </c>
      <c r="J13" s="56" t="s">
        <v>454</v>
      </c>
      <c r="K13" s="17">
        <f t="shared" si="0"/>
        <v>-2</v>
      </c>
      <c r="L13" s="17">
        <v>2</v>
      </c>
      <c r="M13" s="17" t="str">
        <f>IF((K13+Y13)&lt;L13,"Place Order","")</f>
        <v>Place Order</v>
      </c>
      <c r="N13" s="17" t="s">
        <v>466</v>
      </c>
      <c r="O13" s="16"/>
      <c r="P13" s="57">
        <v>825</v>
      </c>
      <c r="Q13" s="40">
        <f t="shared" si="2"/>
        <v>-1650</v>
      </c>
      <c r="R13" s="8"/>
      <c r="S13" s="8"/>
      <c r="T13" s="17"/>
      <c r="U13" s="17"/>
      <c r="V13" s="17"/>
      <c r="W13" s="17"/>
      <c r="X13" s="17"/>
      <c r="Y13" s="17">
        <f t="shared" si="3"/>
        <v>0</v>
      </c>
    </row>
    <row r="14" spans="1:25" x14ac:dyDescent="0.15">
      <c r="A14" s="37"/>
      <c r="B14" s="17"/>
      <c r="C14" s="17"/>
      <c r="D14" s="37">
        <v>45580</v>
      </c>
      <c r="E14" s="17" t="s">
        <v>452</v>
      </c>
      <c r="F14" s="17">
        <v>1</v>
      </c>
      <c r="G14" s="17"/>
      <c r="H14" s="56" t="s">
        <v>474</v>
      </c>
      <c r="I14" s="17">
        <v>0</v>
      </c>
      <c r="J14" s="56" t="s">
        <v>456</v>
      </c>
      <c r="K14" s="17">
        <f t="shared" si="0"/>
        <v>-1</v>
      </c>
      <c r="L14" s="17">
        <v>1</v>
      </c>
      <c r="M14" s="17" t="str">
        <f>IF((K14+Y17)&lt;L14,"Place Order","")</f>
        <v>Place Order</v>
      </c>
      <c r="N14" s="17" t="s">
        <v>77</v>
      </c>
      <c r="O14" s="16"/>
      <c r="P14" s="57">
        <v>150</v>
      </c>
      <c r="Q14" s="40">
        <f t="shared" si="2"/>
        <v>-150</v>
      </c>
      <c r="R14" s="8"/>
      <c r="S14" s="8"/>
      <c r="T14" s="17"/>
      <c r="U14" s="17"/>
      <c r="V14" s="17"/>
      <c r="W14" s="17"/>
      <c r="X14" s="17"/>
      <c r="Y14" s="17">
        <f t="shared" si="3"/>
        <v>0</v>
      </c>
    </row>
    <row r="15" spans="1:25" x14ac:dyDescent="0.15">
      <c r="A15" s="37"/>
      <c r="B15" s="17"/>
      <c r="C15" s="17"/>
      <c r="D15" s="37">
        <v>45580</v>
      </c>
      <c r="E15" s="17" t="s">
        <v>451</v>
      </c>
      <c r="F15" s="17">
        <v>1</v>
      </c>
      <c r="G15" s="17"/>
      <c r="H15" s="56" t="s">
        <v>475</v>
      </c>
      <c r="I15" s="17">
        <v>0</v>
      </c>
      <c r="J15" s="56" t="s">
        <v>505</v>
      </c>
      <c r="K15" s="17">
        <f t="shared" si="0"/>
        <v>-5</v>
      </c>
      <c r="L15" s="17">
        <v>2</v>
      </c>
      <c r="M15" s="17" t="str">
        <f t="shared" ref="M15:M17" si="4">IF((K15+Y18)&lt;L15,"Place Order","")</f>
        <v>Place Order</v>
      </c>
      <c r="N15" s="17" t="s">
        <v>34</v>
      </c>
      <c r="O15" s="16"/>
      <c r="P15" s="57">
        <v>600</v>
      </c>
      <c r="Q15" s="40">
        <f t="shared" si="2"/>
        <v>-3000</v>
      </c>
      <c r="R15" s="8"/>
      <c r="S15" s="8"/>
      <c r="T15" s="17"/>
      <c r="U15" s="17"/>
      <c r="V15" s="17"/>
      <c r="W15" s="17"/>
      <c r="X15" s="17"/>
      <c r="Y15" s="17"/>
    </row>
    <row r="16" spans="1:25" x14ac:dyDescent="0.15">
      <c r="A16" s="37"/>
      <c r="B16" s="17"/>
      <c r="C16" s="17"/>
      <c r="D16" s="37">
        <v>45580</v>
      </c>
      <c r="E16" s="17" t="s">
        <v>464</v>
      </c>
      <c r="F16" s="17">
        <v>1</v>
      </c>
      <c r="G16" s="17"/>
      <c r="H16" s="56" t="s">
        <v>644</v>
      </c>
      <c r="I16" s="17">
        <v>0</v>
      </c>
      <c r="J16" s="56" t="s">
        <v>645</v>
      </c>
      <c r="K16" s="17">
        <f t="shared" si="0"/>
        <v>5</v>
      </c>
      <c r="L16" s="17">
        <v>2</v>
      </c>
      <c r="M16" s="17" t="str">
        <f t="shared" si="4"/>
        <v/>
      </c>
      <c r="N16" s="17" t="s">
        <v>646</v>
      </c>
      <c r="O16" s="16"/>
      <c r="P16" s="57">
        <v>520</v>
      </c>
      <c r="Q16" s="40">
        <f t="shared" si="2"/>
        <v>2600</v>
      </c>
      <c r="R16" s="8"/>
      <c r="S16" s="8"/>
      <c r="T16" s="17"/>
      <c r="U16" s="17"/>
      <c r="V16" s="17"/>
      <c r="W16" s="17"/>
      <c r="X16" s="17"/>
      <c r="Y16" s="17">
        <f t="shared" si="3"/>
        <v>0</v>
      </c>
    </row>
    <row r="17" spans="1:25" x14ac:dyDescent="0.15">
      <c r="A17" s="37"/>
      <c r="B17" s="17"/>
      <c r="C17" s="17"/>
      <c r="D17" s="37">
        <v>45580</v>
      </c>
      <c r="E17" s="17" t="s">
        <v>509</v>
      </c>
      <c r="F17" s="17">
        <v>1</v>
      </c>
      <c r="G17" s="17"/>
      <c r="H17" s="56" t="s">
        <v>476</v>
      </c>
      <c r="I17" s="17">
        <v>0</v>
      </c>
      <c r="J17" s="56" t="s">
        <v>458</v>
      </c>
      <c r="K17" s="17">
        <f t="shared" si="0"/>
        <v>-1</v>
      </c>
      <c r="L17" s="17">
        <v>5</v>
      </c>
      <c r="M17" s="17" t="str">
        <f t="shared" si="4"/>
        <v>Place Order</v>
      </c>
      <c r="N17" s="17" t="s">
        <v>77</v>
      </c>
      <c r="O17" s="16"/>
      <c r="P17" s="57">
        <v>690</v>
      </c>
      <c r="Q17" s="40">
        <f t="shared" si="2"/>
        <v>-690</v>
      </c>
      <c r="R17" s="8" t="s">
        <v>67</v>
      </c>
      <c r="S17" s="8"/>
      <c r="T17" s="17"/>
      <c r="U17" s="17"/>
      <c r="V17" s="17"/>
      <c r="W17" s="17"/>
      <c r="X17" s="17"/>
      <c r="Y17" s="17">
        <f t="shared" si="3"/>
        <v>0</v>
      </c>
    </row>
    <row r="18" spans="1:25" x14ac:dyDescent="0.15">
      <c r="A18" s="37"/>
      <c r="B18" s="17"/>
      <c r="C18" s="17"/>
      <c r="D18" s="37">
        <v>45583</v>
      </c>
      <c r="E18" s="17" t="s">
        <v>505</v>
      </c>
      <c r="F18" s="17">
        <v>5</v>
      </c>
      <c r="G18" s="17"/>
      <c r="H18" s="56" t="s">
        <v>477</v>
      </c>
      <c r="I18" s="17">
        <v>0</v>
      </c>
      <c r="J18" s="56" t="s">
        <v>459</v>
      </c>
      <c r="K18" s="17">
        <f t="shared" si="0"/>
        <v>-2</v>
      </c>
      <c r="L18" s="17">
        <v>1</v>
      </c>
      <c r="M18" s="17" t="str">
        <f t="shared" ref="M18:M23" si="5">IF((K18+Y18)&lt;L18,"Place Order","")</f>
        <v>Place Order</v>
      </c>
      <c r="N18" s="17" t="s">
        <v>77</v>
      </c>
      <c r="O18" s="16"/>
      <c r="P18" s="57">
        <v>135</v>
      </c>
      <c r="Q18" s="40">
        <f t="shared" si="2"/>
        <v>-270</v>
      </c>
      <c r="R18" s="8"/>
      <c r="S18" s="8"/>
      <c r="T18" s="17"/>
      <c r="U18" s="17"/>
      <c r="V18" s="17"/>
      <c r="W18" s="17"/>
      <c r="X18" s="17"/>
      <c r="Y18" s="17">
        <f t="shared" si="3"/>
        <v>0</v>
      </c>
    </row>
    <row r="19" spans="1:25" x14ac:dyDescent="0.15">
      <c r="A19" s="37"/>
      <c r="B19" s="17"/>
      <c r="C19" s="17"/>
      <c r="D19" s="37">
        <v>45584</v>
      </c>
      <c r="E19" s="17" t="s">
        <v>455</v>
      </c>
      <c r="F19" s="17">
        <v>2</v>
      </c>
      <c r="G19" s="17"/>
      <c r="H19" s="56" t="s">
        <v>478</v>
      </c>
      <c r="I19" s="17">
        <v>0</v>
      </c>
      <c r="J19" s="56" t="s">
        <v>460</v>
      </c>
      <c r="K19" s="17">
        <f t="shared" si="0"/>
        <v>-2</v>
      </c>
      <c r="L19" s="17">
        <v>5</v>
      </c>
      <c r="M19" s="17" t="str">
        <f t="shared" si="5"/>
        <v>Place Order</v>
      </c>
      <c r="N19" s="17" t="s">
        <v>506</v>
      </c>
      <c r="O19" s="16"/>
      <c r="P19" s="57">
        <v>200</v>
      </c>
      <c r="Q19" s="40">
        <f t="shared" si="2"/>
        <v>-400</v>
      </c>
      <c r="R19" s="8"/>
      <c r="S19" s="8"/>
      <c r="T19" s="17"/>
      <c r="U19" s="17"/>
      <c r="V19" s="17"/>
      <c r="W19" s="17"/>
      <c r="X19" s="17"/>
      <c r="Y19" s="17"/>
    </row>
    <row r="20" spans="1:25" x14ac:dyDescent="0.15">
      <c r="A20" s="37"/>
      <c r="B20" s="17"/>
      <c r="C20" s="17"/>
      <c r="D20" s="37">
        <v>45590</v>
      </c>
      <c r="E20" s="17" t="s">
        <v>457</v>
      </c>
      <c r="F20" s="17">
        <v>1</v>
      </c>
      <c r="G20" s="17"/>
      <c r="H20" s="56" t="s">
        <v>479</v>
      </c>
      <c r="I20" s="17">
        <v>0</v>
      </c>
      <c r="J20" s="56" t="s">
        <v>461</v>
      </c>
      <c r="K20" s="17">
        <f t="shared" si="0"/>
        <v>-1</v>
      </c>
      <c r="L20" s="17">
        <v>5</v>
      </c>
      <c r="M20" s="17" t="str">
        <f t="shared" si="5"/>
        <v>Place Order</v>
      </c>
      <c r="N20" s="17" t="s">
        <v>77</v>
      </c>
      <c r="O20" s="16"/>
      <c r="P20" s="57">
        <v>300</v>
      </c>
      <c r="Q20" s="40">
        <f t="shared" si="2"/>
        <v>-300</v>
      </c>
      <c r="R20" s="8"/>
      <c r="S20" s="8"/>
      <c r="T20" s="17"/>
      <c r="U20" s="17"/>
      <c r="V20" s="17"/>
      <c r="W20" s="17"/>
      <c r="X20" s="17"/>
      <c r="Y20" s="17">
        <f t="shared" si="3"/>
        <v>0</v>
      </c>
    </row>
    <row r="21" spans="1:25" x14ac:dyDescent="0.15">
      <c r="A21" s="16"/>
      <c r="B21" s="17"/>
      <c r="C21" s="17"/>
      <c r="D21" s="16"/>
      <c r="E21" s="17"/>
      <c r="F21" s="17"/>
      <c r="G21" s="17"/>
      <c r="H21" s="56" t="s">
        <v>480</v>
      </c>
      <c r="I21" s="17">
        <v>0</v>
      </c>
      <c r="J21" s="56" t="s">
        <v>462</v>
      </c>
      <c r="K21" s="17">
        <f t="shared" si="0"/>
        <v>-2</v>
      </c>
      <c r="L21" s="17">
        <v>5</v>
      </c>
      <c r="M21" s="17" t="str">
        <f t="shared" si="5"/>
        <v>Place Order</v>
      </c>
      <c r="N21" s="17" t="s">
        <v>77</v>
      </c>
      <c r="O21" s="16"/>
      <c r="P21" s="57">
        <v>315</v>
      </c>
      <c r="Q21" s="40">
        <f t="shared" si="2"/>
        <v>-630</v>
      </c>
      <c r="R21" s="8"/>
      <c r="S21" s="8"/>
      <c r="T21" s="17"/>
      <c r="U21" s="17"/>
      <c r="V21" s="17"/>
      <c r="W21" s="17"/>
      <c r="X21" s="17"/>
      <c r="Y21" s="17">
        <f t="shared" si="3"/>
        <v>0</v>
      </c>
    </row>
    <row r="22" spans="1:25" x14ac:dyDescent="0.15">
      <c r="A22" s="16"/>
      <c r="B22" s="17"/>
      <c r="C22" s="17"/>
      <c r="D22" s="16"/>
      <c r="E22" s="17"/>
      <c r="F22" s="17"/>
      <c r="G22" s="17"/>
      <c r="H22" s="56" t="s">
        <v>481</v>
      </c>
      <c r="I22" s="17">
        <v>0</v>
      </c>
      <c r="J22" s="56" t="s">
        <v>463</v>
      </c>
      <c r="K22" s="17">
        <f t="shared" si="0"/>
        <v>0</v>
      </c>
      <c r="L22" s="17">
        <v>1</v>
      </c>
      <c r="M22" s="17" t="str">
        <f t="shared" si="5"/>
        <v>Place Order</v>
      </c>
      <c r="N22" s="17" t="s">
        <v>77</v>
      </c>
      <c r="O22" s="16"/>
      <c r="P22" s="57"/>
      <c r="Q22" s="40">
        <f t="shared" si="2"/>
        <v>0</v>
      </c>
      <c r="R22" s="8"/>
      <c r="S22" s="58"/>
      <c r="T22" s="17"/>
      <c r="U22" s="17"/>
      <c r="V22" s="17"/>
      <c r="W22" s="17"/>
      <c r="X22" s="17"/>
      <c r="Y22" s="17"/>
    </row>
    <row r="23" spans="1:25" x14ac:dyDescent="0.15">
      <c r="A23" s="16"/>
      <c r="B23" s="17"/>
      <c r="C23" s="17"/>
      <c r="D23" s="16"/>
      <c r="E23" s="17"/>
      <c r="F23" s="17"/>
      <c r="G23" s="17"/>
      <c r="H23" s="56" t="s">
        <v>482</v>
      </c>
      <c r="I23" s="17">
        <v>0</v>
      </c>
      <c r="J23" s="56" t="s">
        <v>464</v>
      </c>
      <c r="K23" s="17">
        <f t="shared" si="0"/>
        <v>-1</v>
      </c>
      <c r="L23" s="17">
        <v>5</v>
      </c>
      <c r="M23" s="17" t="str">
        <f t="shared" si="5"/>
        <v>Place Order</v>
      </c>
      <c r="N23" s="17" t="s">
        <v>77</v>
      </c>
      <c r="O23" s="16"/>
      <c r="P23" s="57">
        <v>48</v>
      </c>
      <c r="Q23" s="40">
        <f t="shared" si="2"/>
        <v>-48</v>
      </c>
      <c r="R23" s="8"/>
      <c r="S23" s="8" t="s">
        <v>67</v>
      </c>
      <c r="T23" s="17"/>
      <c r="U23" s="17"/>
      <c r="V23" s="17"/>
      <c r="W23" s="17"/>
      <c r="X23" s="17"/>
      <c r="Y23" s="17">
        <f t="shared" si="3"/>
        <v>0</v>
      </c>
    </row>
    <row r="24" spans="1:25" x14ac:dyDescent="0.2">
      <c r="Q24" s="47">
        <f>SUM(Q5:Q23)</f>
        <v>-6278</v>
      </c>
    </row>
  </sheetData>
  <mergeCells count="12">
    <mergeCell ref="P3:P4"/>
    <mergeCell ref="Q3:Q4"/>
    <mergeCell ref="A1:R1"/>
    <mergeCell ref="A3:C3"/>
    <mergeCell ref="D3:F3"/>
    <mergeCell ref="H3:H4"/>
    <mergeCell ref="I3:I4"/>
    <mergeCell ref="J3:K3"/>
    <mergeCell ref="L3:L4"/>
    <mergeCell ref="M3:M4"/>
    <mergeCell ref="N3:N4"/>
    <mergeCell ref="O3:O4"/>
  </mergeCells>
  <phoneticPr fontId="3" type="noConversion"/>
  <conditionalFormatting sqref="M5:N23 R20:R23">
    <cfRule type="containsText" dxfId="16" priority="4" operator="containsText" text="Place Order">
      <formula>NOT(ISERROR(SEARCH("Place Order",M5)))</formula>
    </cfRule>
  </conditionalFormatting>
  <conditionalFormatting sqref="O5:O23">
    <cfRule type="expression" dxfId="15" priority="1" stopIfTrue="1">
      <formula>$O5&gt;TODAY()+90</formula>
    </cfRule>
    <cfRule type="expression" dxfId="14" priority="2" stopIfTrue="1">
      <formula>$O5&lt;TODAY()</formula>
    </cfRule>
    <cfRule type="expression" dxfId="13" priority="3" stopIfTrue="1">
      <formula>OR($O5&gt;=TODAY(),$O5&lt;=TODAY()+90)</formula>
    </cfRule>
  </conditionalFormatting>
  <dataValidations count="1">
    <dataValidation type="list" allowBlank="1" showInputMessage="1" showErrorMessage="1" sqref="B5:B23 E5:E23" xr:uid="{2B5E718F-B048-6C49-88FE-27015493554A}">
      <formula1>$J$5:$J$23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5E9D-B88C-7F4D-B08A-1D80322B087D}">
  <dimension ref="A1:W23"/>
  <sheetViews>
    <sheetView zoomScale="160" zoomScaleNormal="160" workbookViewId="0">
      <pane ySplit="4" topLeftCell="A5" activePane="bottomLeft" state="frozen"/>
      <selection activeCell="S22" sqref="S22"/>
      <selection pane="bottomLeft" activeCell="C5" sqref="C5"/>
    </sheetView>
  </sheetViews>
  <sheetFormatPr baseColWidth="10" defaultColWidth="9.1640625" defaultRowHeight="14" x14ac:dyDescent="0.2"/>
  <cols>
    <col min="1" max="1" width="9.83203125" style="1" bestFit="1" customWidth="1"/>
    <col min="2" max="2" width="27" style="1" bestFit="1" customWidth="1"/>
    <col min="3" max="3" width="9.5" style="1" bestFit="1" customWidth="1"/>
    <col min="4" max="4" width="10.1640625" style="1" bestFit="1" customWidth="1"/>
    <col min="5" max="5" width="18.5" style="1" bestFit="1" customWidth="1"/>
    <col min="6" max="6" width="8.83203125" style="1" customWidth="1"/>
    <col min="7" max="7" width="3.5" style="1" customWidth="1"/>
    <col min="8" max="8" width="17.1640625" style="1" bestFit="1" customWidth="1"/>
    <col min="9" max="9" width="9.5" style="1" customWidth="1"/>
    <col min="10" max="10" width="25.33203125" style="1" bestFit="1" customWidth="1"/>
    <col min="11" max="11" width="9.5" style="1" bestFit="1" customWidth="1"/>
    <col min="12" max="12" width="10.5" style="1" customWidth="1"/>
    <col min="13" max="13" width="12.33203125" style="1" customWidth="1"/>
    <col min="14" max="15" width="5.83203125" style="1" customWidth="1"/>
    <col min="16" max="16" width="11.5" style="1" bestFit="1" customWidth="1"/>
    <col min="17" max="17" width="9.1640625" style="1"/>
    <col min="18" max="18" width="9.5" style="1" bestFit="1" customWidth="1"/>
    <col min="19" max="19" width="10" style="1" bestFit="1" customWidth="1"/>
    <col min="20" max="22" width="9.1640625" style="1"/>
    <col min="23" max="23" width="11.33203125" style="1" bestFit="1" customWidth="1"/>
    <col min="24" max="16384" width="9.1640625" style="1"/>
  </cols>
  <sheetData>
    <row r="1" spans="1:23" x14ac:dyDescent="0.2">
      <c r="A1" s="78" t="s">
        <v>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O1" s="7"/>
      <c r="P1" s="7"/>
      <c r="Q1" s="8" t="s">
        <v>15</v>
      </c>
      <c r="R1" s="9" t="s">
        <v>11</v>
      </c>
      <c r="S1" s="9" t="s">
        <v>11</v>
      </c>
      <c r="T1" s="5"/>
      <c r="U1" s="5"/>
      <c r="V1" s="5"/>
    </row>
    <row r="2" spans="1:23" x14ac:dyDescent="0.2">
      <c r="A2" s="10" t="s">
        <v>631</v>
      </c>
      <c r="B2" s="8"/>
      <c r="C2" s="8" t="s">
        <v>0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3" ht="14" customHeight="1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98" t="s">
        <v>21</v>
      </c>
      <c r="I3" s="97" t="s">
        <v>12</v>
      </c>
      <c r="J3" s="85" t="s">
        <v>10</v>
      </c>
      <c r="K3" s="85"/>
      <c r="L3" s="97" t="s">
        <v>13</v>
      </c>
      <c r="M3" s="97" t="s">
        <v>3</v>
      </c>
      <c r="N3" s="97" t="s">
        <v>32</v>
      </c>
      <c r="O3" s="97" t="s">
        <v>253</v>
      </c>
      <c r="P3" s="97" t="s">
        <v>254</v>
      </c>
      <c r="Q3" s="10" t="s">
        <v>14</v>
      </c>
      <c r="R3" s="8"/>
      <c r="S3" s="8"/>
    </row>
    <row r="4" spans="1:23" ht="18" customHeight="1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98"/>
      <c r="I4" s="97"/>
      <c r="J4" s="14" t="s">
        <v>2</v>
      </c>
      <c r="K4" s="14" t="s">
        <v>1</v>
      </c>
      <c r="L4" s="97"/>
      <c r="M4" s="97"/>
      <c r="N4" s="97"/>
      <c r="O4" s="97"/>
      <c r="P4" s="97"/>
      <c r="Q4" s="8"/>
      <c r="R4" s="15">
        <v>45320</v>
      </c>
      <c r="S4" s="15"/>
      <c r="T4" s="15"/>
      <c r="U4" s="15"/>
      <c r="V4" s="15"/>
      <c r="W4" s="15" t="s">
        <v>6</v>
      </c>
    </row>
    <row r="5" spans="1:23" x14ac:dyDescent="0.2">
      <c r="A5" s="16">
        <v>45574</v>
      </c>
      <c r="B5" s="17" t="s">
        <v>486</v>
      </c>
      <c r="C5" s="17">
        <v>500</v>
      </c>
      <c r="D5" s="16">
        <v>45568</v>
      </c>
      <c r="E5" s="17" t="s">
        <v>486</v>
      </c>
      <c r="F5" s="18">
        <v>500</v>
      </c>
      <c r="G5" s="17"/>
      <c r="H5" s="17" t="s">
        <v>483</v>
      </c>
      <c r="I5" s="17">
        <v>283</v>
      </c>
      <c r="J5" s="17" t="s">
        <v>485</v>
      </c>
      <c r="K5" s="17">
        <f t="shared" ref="K5:K21" si="0">I5+SUMIF($B$5:$B$172,J5,$C$5:$C$172)-SUMIF($E$5:$E$172,J5,$F$5:$F$172)</f>
        <v>283</v>
      </c>
      <c r="L5" s="17">
        <v>2000</v>
      </c>
      <c r="M5" s="17" t="str">
        <f t="shared" ref="M5:M21" si="1">IF((K5+W5)&lt;L5,"Place Order","")</f>
        <v>Place Order</v>
      </c>
      <c r="N5" s="17" t="s">
        <v>77</v>
      </c>
      <c r="O5" s="17">
        <v>66.75</v>
      </c>
      <c r="P5" s="40">
        <f>K5*O5</f>
        <v>18890.25</v>
      </c>
      <c r="Q5" s="33"/>
      <c r="R5" s="17"/>
      <c r="S5" s="17"/>
      <c r="T5" s="2"/>
      <c r="U5" s="2"/>
      <c r="V5" s="2"/>
      <c r="W5" s="17">
        <f>SUMIF($R$1:$V$1,"T",R5:V5)</f>
        <v>0</v>
      </c>
    </row>
    <row r="6" spans="1:23" x14ac:dyDescent="0.2">
      <c r="A6" s="16">
        <v>45574</v>
      </c>
      <c r="B6" s="17" t="s">
        <v>521</v>
      </c>
      <c r="C6" s="17">
        <v>22</v>
      </c>
      <c r="D6" s="16"/>
      <c r="E6" s="17"/>
      <c r="F6" s="17"/>
      <c r="G6" s="17"/>
      <c r="H6" s="17" t="s">
        <v>484</v>
      </c>
      <c r="I6" s="17">
        <v>871</v>
      </c>
      <c r="J6" s="17" t="s">
        <v>486</v>
      </c>
      <c r="K6" s="17">
        <f t="shared" si="0"/>
        <v>871</v>
      </c>
      <c r="L6" s="17">
        <v>3000</v>
      </c>
      <c r="M6" s="17" t="str">
        <f t="shared" si="1"/>
        <v>Place Order</v>
      </c>
      <c r="N6" s="17" t="s">
        <v>77</v>
      </c>
      <c r="O6" s="17">
        <v>87.5</v>
      </c>
      <c r="P6" s="40">
        <f t="shared" ref="P6:P21" si="2">K6*O6</f>
        <v>76212.5</v>
      </c>
      <c r="Q6" s="8"/>
      <c r="R6" s="17"/>
      <c r="S6" s="17"/>
      <c r="T6" s="2"/>
      <c r="U6" s="2"/>
      <c r="V6" s="2"/>
      <c r="W6" s="17">
        <f t="shared" ref="W6:W20" si="3">SUMIF($R$1:$V$1,"T",R6:V6)</f>
        <v>0</v>
      </c>
    </row>
    <row r="7" spans="1:23" x14ac:dyDescent="0.2">
      <c r="A7" s="16"/>
      <c r="B7" s="17"/>
      <c r="C7" s="17"/>
      <c r="D7" s="16"/>
      <c r="E7" s="17"/>
      <c r="F7" s="17"/>
      <c r="G7" s="17"/>
      <c r="H7" s="17" t="s">
        <v>488</v>
      </c>
      <c r="I7" s="17">
        <v>451</v>
      </c>
      <c r="J7" s="17" t="s">
        <v>487</v>
      </c>
      <c r="K7" s="17">
        <f t="shared" si="0"/>
        <v>451</v>
      </c>
      <c r="L7" s="17">
        <v>2000</v>
      </c>
      <c r="M7" s="17" t="str">
        <f t="shared" si="1"/>
        <v>Place Order</v>
      </c>
      <c r="N7" s="17" t="s">
        <v>77</v>
      </c>
      <c r="O7" s="17">
        <v>50</v>
      </c>
      <c r="P7" s="40">
        <f t="shared" si="2"/>
        <v>22550</v>
      </c>
      <c r="Q7" s="8"/>
      <c r="R7" s="17"/>
      <c r="S7" s="17"/>
      <c r="T7" s="2"/>
      <c r="U7" s="2"/>
      <c r="V7" s="2"/>
      <c r="W7" s="17">
        <f t="shared" si="3"/>
        <v>0</v>
      </c>
    </row>
    <row r="8" spans="1:23" x14ac:dyDescent="0.2">
      <c r="A8" s="16"/>
      <c r="B8" s="17"/>
      <c r="C8" s="17"/>
      <c r="D8" s="16"/>
      <c r="E8" s="17"/>
      <c r="F8" s="17"/>
      <c r="G8" s="17"/>
      <c r="H8" s="17" t="s">
        <v>489</v>
      </c>
      <c r="I8" s="17">
        <v>0</v>
      </c>
      <c r="J8" s="17" t="s">
        <v>490</v>
      </c>
      <c r="K8" s="17">
        <f t="shared" si="0"/>
        <v>0</v>
      </c>
      <c r="L8" s="17">
        <v>500</v>
      </c>
      <c r="M8" s="17" t="str">
        <f t="shared" si="1"/>
        <v>Place Order</v>
      </c>
      <c r="N8" s="17" t="s">
        <v>77</v>
      </c>
      <c r="O8" s="17"/>
      <c r="P8" s="40">
        <f t="shared" si="2"/>
        <v>0</v>
      </c>
      <c r="Q8" s="8"/>
      <c r="R8" s="17"/>
      <c r="S8" s="17"/>
      <c r="T8" s="2"/>
      <c r="U8" s="2"/>
      <c r="V8" s="2"/>
      <c r="W8" s="17">
        <f t="shared" si="3"/>
        <v>0</v>
      </c>
    </row>
    <row r="9" spans="1:23" x14ac:dyDescent="0.2">
      <c r="A9" s="16"/>
      <c r="B9" s="17"/>
      <c r="C9" s="17"/>
      <c r="D9" s="16"/>
      <c r="E9" s="17"/>
      <c r="F9" s="17"/>
      <c r="G9" s="17"/>
      <c r="H9" s="17" t="s">
        <v>491</v>
      </c>
      <c r="I9" s="17">
        <v>0</v>
      </c>
      <c r="J9" s="17" t="s">
        <v>492</v>
      </c>
      <c r="K9" s="17">
        <f t="shared" si="0"/>
        <v>0</v>
      </c>
      <c r="L9" s="17">
        <v>500</v>
      </c>
      <c r="M9" s="17" t="str">
        <f t="shared" si="1"/>
        <v>Place Order</v>
      </c>
      <c r="N9" s="17" t="s">
        <v>77</v>
      </c>
      <c r="P9" s="40">
        <f t="shared" si="2"/>
        <v>0</v>
      </c>
      <c r="Q9" s="8"/>
      <c r="R9" s="17"/>
      <c r="S9" s="17"/>
      <c r="T9" s="2"/>
      <c r="U9" s="2"/>
      <c r="V9" s="2"/>
      <c r="W9" s="17">
        <f t="shared" si="3"/>
        <v>0</v>
      </c>
    </row>
    <row r="10" spans="1:23" x14ac:dyDescent="0.2">
      <c r="A10" s="16"/>
      <c r="B10" s="17"/>
      <c r="C10" s="17"/>
      <c r="D10" s="16"/>
      <c r="E10" s="17"/>
      <c r="F10" s="17"/>
      <c r="G10" s="17"/>
      <c r="H10" s="17" t="s">
        <v>493</v>
      </c>
      <c r="I10" s="17">
        <v>26500</v>
      </c>
      <c r="J10" s="17" t="s">
        <v>495</v>
      </c>
      <c r="K10" s="17">
        <f t="shared" si="0"/>
        <v>26500</v>
      </c>
      <c r="L10" s="17">
        <v>1000</v>
      </c>
      <c r="M10" s="17" t="str">
        <f t="shared" si="1"/>
        <v/>
      </c>
      <c r="N10" s="17" t="s">
        <v>77</v>
      </c>
      <c r="O10" s="17">
        <v>2.5</v>
      </c>
      <c r="P10" s="40">
        <f t="shared" si="2"/>
        <v>66250</v>
      </c>
      <c r="Q10" s="8"/>
      <c r="R10" s="17"/>
      <c r="S10" s="17"/>
      <c r="T10" s="2"/>
      <c r="U10" s="2"/>
      <c r="V10" s="2"/>
      <c r="W10" s="17">
        <f t="shared" si="3"/>
        <v>0</v>
      </c>
    </row>
    <row r="11" spans="1:23" x14ac:dyDescent="0.2">
      <c r="A11" s="16"/>
      <c r="B11" s="17"/>
      <c r="C11" s="17"/>
      <c r="D11" s="16"/>
      <c r="E11" s="17"/>
      <c r="F11" s="17"/>
      <c r="G11" s="17"/>
      <c r="H11" s="17" t="s">
        <v>494</v>
      </c>
      <c r="I11" s="17">
        <v>0</v>
      </c>
      <c r="J11" s="17" t="s">
        <v>496</v>
      </c>
      <c r="K11" s="17">
        <f t="shared" si="0"/>
        <v>0</v>
      </c>
      <c r="L11" s="17">
        <v>100</v>
      </c>
      <c r="M11" s="17" t="str">
        <f t="shared" si="1"/>
        <v>Place Order</v>
      </c>
      <c r="N11" s="17" t="s">
        <v>77</v>
      </c>
      <c r="O11" s="17">
        <v>8</v>
      </c>
      <c r="P11" s="40">
        <f t="shared" si="2"/>
        <v>0</v>
      </c>
      <c r="Q11" s="8"/>
      <c r="R11" s="17"/>
      <c r="S11" s="17"/>
      <c r="T11" s="2"/>
      <c r="U11" s="2"/>
      <c r="V11" s="2"/>
      <c r="W11" s="17">
        <f t="shared" si="3"/>
        <v>0</v>
      </c>
    </row>
    <row r="12" spans="1:23" x14ac:dyDescent="0.2">
      <c r="A12" s="16"/>
      <c r="B12" s="17"/>
      <c r="C12" s="17"/>
      <c r="D12" s="37"/>
      <c r="E12" s="17"/>
      <c r="F12" s="17"/>
      <c r="G12" s="17"/>
      <c r="H12" s="17" t="s">
        <v>498</v>
      </c>
      <c r="I12" s="17">
        <v>0</v>
      </c>
      <c r="J12" s="17" t="s">
        <v>497</v>
      </c>
      <c r="K12" s="17">
        <f t="shared" si="0"/>
        <v>0</v>
      </c>
      <c r="L12" s="17">
        <v>100</v>
      </c>
      <c r="M12" s="17" t="str">
        <f t="shared" si="1"/>
        <v>Place Order</v>
      </c>
      <c r="N12" s="17" t="s">
        <v>77</v>
      </c>
      <c r="O12" s="17"/>
      <c r="P12" s="40">
        <f t="shared" si="2"/>
        <v>0</v>
      </c>
      <c r="Q12" s="8"/>
      <c r="R12" s="17"/>
      <c r="S12" s="17"/>
      <c r="T12" s="2"/>
      <c r="U12" s="2"/>
      <c r="V12" s="2"/>
      <c r="W12" s="17">
        <f t="shared" si="3"/>
        <v>0</v>
      </c>
    </row>
    <row r="13" spans="1:23" x14ac:dyDescent="0.2">
      <c r="A13" s="16"/>
      <c r="B13" s="17"/>
      <c r="C13" s="17"/>
      <c r="D13" s="37"/>
      <c r="E13" s="17"/>
      <c r="F13" s="17"/>
      <c r="G13" s="17"/>
      <c r="H13" s="17" t="s">
        <v>500</v>
      </c>
      <c r="I13" s="17">
        <v>50</v>
      </c>
      <c r="J13" s="17" t="s">
        <v>499</v>
      </c>
      <c r="K13" s="17">
        <f t="shared" si="0"/>
        <v>50</v>
      </c>
      <c r="L13" s="17">
        <v>100</v>
      </c>
      <c r="M13" s="17" t="str">
        <f t="shared" si="1"/>
        <v>Place Order</v>
      </c>
      <c r="N13" s="17" t="s">
        <v>77</v>
      </c>
      <c r="O13" s="17"/>
      <c r="P13" s="40">
        <f t="shared" si="2"/>
        <v>0</v>
      </c>
      <c r="Q13" s="8"/>
      <c r="R13" s="17"/>
      <c r="S13" s="17"/>
      <c r="T13" s="2"/>
      <c r="U13" s="2"/>
      <c r="V13" s="2"/>
      <c r="W13" s="17">
        <f>SUMIF($R$1:$V$1,"T",R13:V13)</f>
        <v>0</v>
      </c>
    </row>
    <row r="14" spans="1:23" x14ac:dyDescent="0.2">
      <c r="A14" s="16"/>
      <c r="B14" s="17"/>
      <c r="C14" s="17"/>
      <c r="D14" s="37"/>
      <c r="E14" s="17"/>
      <c r="F14" s="17"/>
      <c r="G14" s="17"/>
      <c r="H14" s="17" t="s">
        <v>501</v>
      </c>
      <c r="I14" s="17">
        <v>0</v>
      </c>
      <c r="J14" s="17" t="s">
        <v>503</v>
      </c>
      <c r="K14" s="17">
        <f t="shared" si="0"/>
        <v>0</v>
      </c>
      <c r="L14" s="17">
        <v>500</v>
      </c>
      <c r="M14" s="17" t="str">
        <f t="shared" si="1"/>
        <v>Place Order</v>
      </c>
      <c r="N14" s="17" t="s">
        <v>77</v>
      </c>
      <c r="O14" s="17"/>
      <c r="P14" s="40">
        <f t="shared" si="2"/>
        <v>0</v>
      </c>
      <c r="Q14" s="8"/>
      <c r="R14" s="17"/>
      <c r="S14" s="17"/>
      <c r="T14" s="2"/>
      <c r="U14" s="2"/>
      <c r="V14" s="2"/>
      <c r="W14" s="17">
        <f t="shared" si="3"/>
        <v>0</v>
      </c>
    </row>
    <row r="15" spans="1:23" x14ac:dyDescent="0.2">
      <c r="A15" s="16"/>
      <c r="B15" s="17"/>
      <c r="C15" s="17"/>
      <c r="D15" s="37"/>
      <c r="E15" s="17"/>
      <c r="F15" s="17"/>
      <c r="G15" s="17"/>
      <c r="H15" s="17" t="s">
        <v>502</v>
      </c>
      <c r="I15" s="17">
        <v>0</v>
      </c>
      <c r="J15" s="17" t="s">
        <v>504</v>
      </c>
      <c r="K15" s="17">
        <f t="shared" si="0"/>
        <v>0</v>
      </c>
      <c r="L15" s="17">
        <v>200</v>
      </c>
      <c r="M15" s="17" t="str">
        <f t="shared" si="1"/>
        <v>Place Order</v>
      </c>
      <c r="N15" s="17" t="s">
        <v>77</v>
      </c>
      <c r="O15" s="17"/>
      <c r="P15" s="40">
        <f t="shared" si="2"/>
        <v>0</v>
      </c>
      <c r="Q15" s="8"/>
      <c r="R15" s="17"/>
      <c r="S15" s="17"/>
      <c r="T15" s="2"/>
      <c r="U15" s="2"/>
      <c r="V15" s="2"/>
      <c r="W15" s="17">
        <f t="shared" si="3"/>
        <v>0</v>
      </c>
    </row>
    <row r="16" spans="1:23" x14ac:dyDescent="0.2">
      <c r="A16" s="16"/>
      <c r="B16" s="17"/>
      <c r="C16" s="17"/>
      <c r="D16" s="16"/>
      <c r="E16" s="17"/>
      <c r="F16" s="17"/>
      <c r="G16" s="17"/>
      <c r="H16" s="17" t="s">
        <v>510</v>
      </c>
      <c r="I16" s="17">
        <v>0</v>
      </c>
      <c r="J16" s="17" t="s">
        <v>511</v>
      </c>
      <c r="K16" s="17">
        <f t="shared" si="0"/>
        <v>0</v>
      </c>
      <c r="L16" s="17">
        <v>1000</v>
      </c>
      <c r="M16" s="17" t="str">
        <f t="shared" si="1"/>
        <v>Place Order</v>
      </c>
      <c r="N16" s="17" t="s">
        <v>77</v>
      </c>
      <c r="O16" s="17">
        <v>520</v>
      </c>
      <c r="P16" s="40">
        <f t="shared" si="2"/>
        <v>0</v>
      </c>
      <c r="Q16" s="8"/>
      <c r="R16" s="17"/>
      <c r="S16" s="17"/>
      <c r="T16" s="2"/>
      <c r="U16" s="2"/>
      <c r="V16" s="2"/>
      <c r="W16" s="17">
        <f t="shared" si="3"/>
        <v>0</v>
      </c>
    </row>
    <row r="17" spans="1:23" x14ac:dyDescent="0.2">
      <c r="A17" s="16"/>
      <c r="B17" s="17"/>
      <c r="C17" s="17"/>
      <c r="D17" s="16"/>
      <c r="E17" s="17"/>
      <c r="F17" s="17"/>
      <c r="G17" s="17"/>
      <c r="H17" s="17" t="s">
        <v>512</v>
      </c>
      <c r="I17" s="17">
        <v>0</v>
      </c>
      <c r="J17" s="17" t="s">
        <v>514</v>
      </c>
      <c r="K17" s="17">
        <f t="shared" si="0"/>
        <v>0</v>
      </c>
      <c r="L17" s="17">
        <v>5</v>
      </c>
      <c r="M17" s="17" t="str">
        <f t="shared" si="1"/>
        <v>Place Order</v>
      </c>
      <c r="N17" s="17" t="s">
        <v>77</v>
      </c>
      <c r="O17" s="17"/>
      <c r="P17" s="40">
        <f>K17*O17</f>
        <v>0</v>
      </c>
      <c r="Q17" s="8"/>
      <c r="R17" s="17"/>
      <c r="S17" s="17"/>
      <c r="T17" s="2"/>
      <c r="U17" s="2"/>
      <c r="V17" s="2"/>
      <c r="W17" s="17">
        <f t="shared" si="3"/>
        <v>0</v>
      </c>
    </row>
    <row r="18" spans="1:23" x14ac:dyDescent="0.2">
      <c r="A18" s="16"/>
      <c r="B18" s="17"/>
      <c r="C18" s="17"/>
      <c r="D18" s="16"/>
      <c r="E18" s="17"/>
      <c r="F18" s="17"/>
      <c r="G18" s="17"/>
      <c r="H18" s="17" t="s">
        <v>513</v>
      </c>
      <c r="I18" s="17">
        <v>0</v>
      </c>
      <c r="J18" s="17" t="s">
        <v>516</v>
      </c>
      <c r="K18" s="17">
        <f t="shared" si="0"/>
        <v>0</v>
      </c>
      <c r="L18" s="17">
        <v>5000</v>
      </c>
      <c r="M18" s="17" t="str">
        <f t="shared" si="1"/>
        <v>Place Order</v>
      </c>
      <c r="N18" s="17" t="s">
        <v>34</v>
      </c>
      <c r="O18" s="17"/>
      <c r="P18" s="40">
        <f t="shared" si="2"/>
        <v>0</v>
      </c>
      <c r="Q18" s="8"/>
      <c r="R18" s="17"/>
      <c r="S18" s="17"/>
      <c r="T18" s="2"/>
      <c r="U18" s="2"/>
      <c r="V18" s="2"/>
      <c r="W18" s="17">
        <f t="shared" si="3"/>
        <v>0</v>
      </c>
    </row>
    <row r="19" spans="1:23" x14ac:dyDescent="0.2">
      <c r="A19" s="16"/>
      <c r="B19" s="17"/>
      <c r="C19" s="17"/>
      <c r="D19" s="16"/>
      <c r="E19" s="17"/>
      <c r="F19" s="17"/>
      <c r="G19" s="17"/>
      <c r="H19" s="17" t="s">
        <v>517</v>
      </c>
      <c r="I19" s="17">
        <v>6</v>
      </c>
      <c r="J19" s="17" t="s">
        <v>515</v>
      </c>
      <c r="K19" s="17">
        <f t="shared" si="0"/>
        <v>6</v>
      </c>
      <c r="L19" s="17">
        <v>1000</v>
      </c>
      <c r="M19" s="17" t="str">
        <f t="shared" si="1"/>
        <v>Place Order</v>
      </c>
      <c r="N19" s="17" t="s">
        <v>77</v>
      </c>
      <c r="O19" s="17">
        <v>700</v>
      </c>
      <c r="P19" s="40">
        <f t="shared" si="2"/>
        <v>4200</v>
      </c>
      <c r="Q19" s="8"/>
      <c r="R19" s="17"/>
      <c r="S19" s="17"/>
      <c r="T19" s="2"/>
      <c r="U19" s="2"/>
      <c r="V19" s="2"/>
      <c r="W19" s="17">
        <f t="shared" si="3"/>
        <v>0</v>
      </c>
    </row>
    <row r="20" spans="1:23" x14ac:dyDescent="0.2">
      <c r="A20" s="16"/>
      <c r="B20" s="17"/>
      <c r="C20" s="17"/>
      <c r="D20" s="16"/>
      <c r="E20" s="17"/>
      <c r="F20" s="17"/>
      <c r="G20" s="17"/>
      <c r="H20" s="17" t="s">
        <v>518</v>
      </c>
      <c r="I20" s="17">
        <v>50</v>
      </c>
      <c r="J20" s="17" t="s">
        <v>519</v>
      </c>
      <c r="K20" s="17">
        <f t="shared" si="0"/>
        <v>50</v>
      </c>
      <c r="L20" s="17">
        <v>500</v>
      </c>
      <c r="M20" s="17" t="str">
        <f t="shared" si="1"/>
        <v>Place Order</v>
      </c>
      <c r="N20" s="17" t="s">
        <v>77</v>
      </c>
      <c r="O20" s="17">
        <v>2.6</v>
      </c>
      <c r="P20" s="40">
        <f t="shared" si="2"/>
        <v>130</v>
      </c>
      <c r="Q20" s="8"/>
      <c r="R20" s="17"/>
      <c r="S20" s="17"/>
      <c r="T20" s="2"/>
      <c r="U20" s="2"/>
      <c r="V20" s="2"/>
      <c r="W20" s="17">
        <f t="shared" si="3"/>
        <v>0</v>
      </c>
    </row>
    <row r="21" spans="1:23" x14ac:dyDescent="0.2">
      <c r="A21" s="16"/>
      <c r="B21" s="17"/>
      <c r="C21" s="17"/>
      <c r="D21" s="16"/>
      <c r="E21" s="17"/>
      <c r="F21" s="17"/>
      <c r="G21" s="17"/>
      <c r="H21" s="17" t="s">
        <v>520</v>
      </c>
      <c r="I21" s="17">
        <v>0</v>
      </c>
      <c r="J21" s="17" t="s">
        <v>521</v>
      </c>
      <c r="K21" s="17">
        <f t="shared" si="0"/>
        <v>22</v>
      </c>
      <c r="L21" s="17">
        <v>500</v>
      </c>
      <c r="M21" s="17" t="str">
        <f t="shared" si="1"/>
        <v>Place Order</v>
      </c>
      <c r="N21" s="17" t="s">
        <v>34</v>
      </c>
      <c r="O21" s="17">
        <v>430</v>
      </c>
      <c r="P21" s="40">
        <f t="shared" si="2"/>
        <v>9460</v>
      </c>
      <c r="Q21" s="8"/>
      <c r="R21" s="8"/>
      <c r="S21" s="8"/>
      <c r="W21" s="8"/>
    </row>
    <row r="22" spans="1:23" x14ac:dyDescent="0.2">
      <c r="A22" s="2"/>
      <c r="B22" s="2"/>
      <c r="C22" s="2"/>
      <c r="D22" s="16"/>
      <c r="E22" s="17"/>
      <c r="F22" s="17"/>
      <c r="G22" s="2"/>
      <c r="H22" s="17"/>
      <c r="I22" s="17"/>
      <c r="J22" s="17"/>
      <c r="K22" s="17"/>
      <c r="L22" s="17"/>
      <c r="M22" s="17"/>
      <c r="N22" s="17"/>
      <c r="O22" s="17"/>
      <c r="P22" s="40"/>
      <c r="S22" s="1" t="s">
        <v>67</v>
      </c>
    </row>
    <row r="23" spans="1:23" x14ac:dyDescent="0.2">
      <c r="A23" s="2"/>
      <c r="B23" s="2"/>
      <c r="C23" s="2"/>
      <c r="D23" s="16"/>
      <c r="E23" s="17"/>
      <c r="F23" s="17"/>
      <c r="G23" s="2"/>
      <c r="H23" s="2" t="s">
        <v>67</v>
      </c>
      <c r="I23" s="6"/>
      <c r="J23" s="2"/>
      <c r="K23" s="2"/>
      <c r="L23" s="2"/>
      <c r="M23" s="2"/>
      <c r="N23" s="2"/>
      <c r="O23" s="2"/>
      <c r="P23" s="41">
        <f>SUM(P5:P22)</f>
        <v>197692.75</v>
      </c>
    </row>
  </sheetData>
  <mergeCells count="11">
    <mergeCell ref="N3:N4"/>
    <mergeCell ref="O3:O4"/>
    <mergeCell ref="P3:P4"/>
    <mergeCell ref="A1:M1"/>
    <mergeCell ref="A3:C3"/>
    <mergeCell ref="D3:F3"/>
    <mergeCell ref="H3:H4"/>
    <mergeCell ref="I3:I4"/>
    <mergeCell ref="J3:K3"/>
    <mergeCell ref="L3:L4"/>
    <mergeCell ref="M3:M4"/>
  </mergeCells>
  <phoneticPr fontId="3" type="noConversion"/>
  <conditionalFormatting sqref="M5:N20 P5:P20 M21:P22">
    <cfRule type="containsText" dxfId="12" priority="3" operator="containsText" text="Place Order">
      <formula>NOT(ISERROR(SEARCH("Place Order",M5)))</formula>
    </cfRule>
  </conditionalFormatting>
  <conditionalFormatting sqref="O5:O8 O10:O20">
    <cfRule type="containsText" dxfId="11" priority="1" operator="containsText" text="Place Order">
      <formula>NOT(ISERROR(SEARCH("Place Order",O5)))</formula>
    </cfRule>
  </conditionalFormatting>
  <conditionalFormatting sqref="P23">
    <cfRule type="containsText" dxfId="10" priority="2" operator="containsText" text="Place Order">
      <formula>NOT(ISERROR(SEARCH("Place Order",P23)))</formula>
    </cfRule>
  </conditionalFormatting>
  <dataValidations count="1">
    <dataValidation type="list" allowBlank="1" showInputMessage="1" showErrorMessage="1" sqref="E5:E23 B5:B23" xr:uid="{A97309F6-0353-EE42-AFF3-E55DB9DB1F5D}">
      <formula1>$J$5:$J$22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66E8-D3D7-FB4D-8597-2B3DA64A7FF3}">
  <dimension ref="A1:AA74"/>
  <sheetViews>
    <sheetView zoomScale="130" zoomScaleNormal="130" workbookViewId="0">
      <pane ySplit="4" topLeftCell="A5" activePane="bottomLeft" state="frozen"/>
      <selection pane="bottomLeft" activeCell="M20" sqref="M20"/>
    </sheetView>
  </sheetViews>
  <sheetFormatPr baseColWidth="10" defaultColWidth="9.1640625" defaultRowHeight="14" x14ac:dyDescent="0.2"/>
  <cols>
    <col min="1" max="1" width="9.83203125" style="1" bestFit="1" customWidth="1"/>
    <col min="2" max="2" width="13.33203125" style="1" customWidth="1"/>
    <col min="3" max="3" width="9.33203125" style="1" bestFit="1" customWidth="1"/>
    <col min="4" max="4" width="10.1640625" style="1" bestFit="1" customWidth="1"/>
    <col min="5" max="5" width="13.33203125" style="1" customWidth="1"/>
    <col min="6" max="6" width="8.83203125" style="1" customWidth="1"/>
    <col min="7" max="7" width="3.5" style="1" customWidth="1"/>
    <col min="8" max="8" width="16.33203125" style="1" bestFit="1" customWidth="1"/>
    <col min="9" max="9" width="9.5" style="1" customWidth="1"/>
    <col min="10" max="10" width="13.83203125" style="1" customWidth="1"/>
    <col min="11" max="11" width="9.33203125" style="1" bestFit="1" customWidth="1"/>
    <col min="12" max="12" width="10.5" style="1" customWidth="1"/>
    <col min="13" max="13" width="9.83203125" style="1" bestFit="1" customWidth="1"/>
    <col min="14" max="14" width="5.83203125" style="1" customWidth="1"/>
    <col min="15" max="15" width="10.33203125" style="1" bestFit="1" customWidth="1"/>
    <col min="16" max="16" width="10.33203125" style="1" customWidth="1"/>
    <col min="17" max="17" width="13" style="1" bestFit="1" customWidth="1"/>
    <col min="18" max="18" width="22.5" style="1" bestFit="1" customWidth="1"/>
    <col min="19" max="19" width="9.83203125" style="1" bestFit="1" customWidth="1"/>
    <col min="20" max="24" width="9.1640625" style="1"/>
    <col min="25" max="25" width="11.1640625" style="1" bestFit="1" customWidth="1"/>
    <col min="26" max="16384" width="9.1640625" style="1"/>
  </cols>
  <sheetData>
    <row r="1" spans="1:27" ht="20" x14ac:dyDescent="0.2">
      <c r="A1" s="99" t="s">
        <v>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" t="s">
        <v>15</v>
      </c>
      <c r="T1" s="5" t="s">
        <v>11</v>
      </c>
      <c r="U1" s="5" t="s">
        <v>11</v>
      </c>
      <c r="V1" s="5"/>
      <c r="W1" s="5"/>
      <c r="X1" s="5"/>
    </row>
    <row r="2" spans="1:27" x14ac:dyDescent="0.2">
      <c r="A2" s="10" t="s">
        <v>634</v>
      </c>
      <c r="B2" s="8"/>
      <c r="C2" s="8" t="s">
        <v>157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7" ht="25" customHeight="1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100" t="s">
        <v>21</v>
      </c>
      <c r="I3" s="102" t="s">
        <v>12</v>
      </c>
      <c r="J3" s="85" t="s">
        <v>10</v>
      </c>
      <c r="K3" s="85"/>
      <c r="L3" s="83" t="s">
        <v>13</v>
      </c>
      <c r="M3" s="86" t="s">
        <v>445</v>
      </c>
      <c r="N3" s="77" t="s">
        <v>32</v>
      </c>
      <c r="O3" s="77" t="s">
        <v>42</v>
      </c>
      <c r="P3" s="77" t="s">
        <v>253</v>
      </c>
      <c r="Q3" s="77" t="s">
        <v>254</v>
      </c>
      <c r="R3" s="8"/>
      <c r="S3" s="4" t="s">
        <v>14</v>
      </c>
    </row>
    <row r="4" spans="1:27" ht="25" customHeight="1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101"/>
      <c r="I4" s="103"/>
      <c r="J4" s="14" t="s">
        <v>2</v>
      </c>
      <c r="K4" s="14" t="s">
        <v>1</v>
      </c>
      <c r="L4" s="84"/>
      <c r="M4" s="87"/>
      <c r="N4" s="77"/>
      <c r="O4" s="77"/>
      <c r="P4" s="77"/>
      <c r="Q4" s="77"/>
      <c r="R4" s="8" t="s">
        <v>71</v>
      </c>
      <c r="T4" s="3">
        <v>44080</v>
      </c>
      <c r="U4" s="3">
        <v>44092</v>
      </c>
      <c r="V4" s="3"/>
      <c r="W4" s="3"/>
      <c r="X4" s="3"/>
      <c r="Y4" s="3" t="s">
        <v>6</v>
      </c>
    </row>
    <row r="5" spans="1:27" x14ac:dyDescent="0.2">
      <c r="A5" s="16">
        <v>45660</v>
      </c>
      <c r="B5" s="17" t="s">
        <v>289</v>
      </c>
      <c r="C5" s="17"/>
      <c r="D5" s="16">
        <v>45660</v>
      </c>
      <c r="E5" s="17" t="s">
        <v>259</v>
      </c>
      <c r="F5" s="17"/>
      <c r="G5" s="17"/>
      <c r="H5" s="17" t="s">
        <v>258</v>
      </c>
      <c r="I5" s="17">
        <v>0</v>
      </c>
      <c r="J5" s="55" t="s">
        <v>259</v>
      </c>
      <c r="K5" s="17">
        <f>I5+SUMIF($B$5:$B$71,J5,$C$5:$C$71)-SUMIF($E$5:$E$71,J5,$F$5:$F$71)</f>
        <v>0</v>
      </c>
      <c r="L5" s="17">
        <v>1</v>
      </c>
      <c r="M5" s="17"/>
      <c r="N5" s="17" t="s">
        <v>279</v>
      </c>
      <c r="O5" s="16"/>
      <c r="P5" s="44">
        <v>5000</v>
      </c>
      <c r="Q5" s="40">
        <f>K5*P5</f>
        <v>0</v>
      </c>
      <c r="R5" s="34" t="s">
        <v>72</v>
      </c>
      <c r="T5" s="2"/>
      <c r="U5" s="2"/>
      <c r="V5" s="2"/>
      <c r="W5" s="2"/>
      <c r="X5" s="2"/>
      <c r="Y5" s="2">
        <f>SUMIF($T$1:$X$1,"T",T5:X5)</f>
        <v>0</v>
      </c>
      <c r="AA5" s="17" t="s">
        <v>52</v>
      </c>
    </row>
    <row r="6" spans="1:27" x14ac:dyDescent="0.2">
      <c r="A6" s="16"/>
      <c r="B6" s="17"/>
      <c r="C6" s="17"/>
      <c r="D6" s="16"/>
      <c r="E6" s="17"/>
      <c r="F6" s="17"/>
      <c r="G6" s="17"/>
      <c r="H6" s="17" t="s">
        <v>260</v>
      </c>
      <c r="I6" s="17">
        <v>1</v>
      </c>
      <c r="J6" s="55" t="s">
        <v>261</v>
      </c>
      <c r="K6" s="17">
        <f t="shared" ref="K6:K69" si="0">I6+SUMIF($B$5:$B$71,J6,$C$5:$C$71)-SUMIF($E$5:$E$71,J6,$F$5:$F$71)</f>
        <v>1</v>
      </c>
      <c r="L6" s="17">
        <v>1</v>
      </c>
      <c r="M6" s="17"/>
      <c r="N6" s="17" t="s">
        <v>279</v>
      </c>
      <c r="O6" s="16"/>
      <c r="P6" s="44">
        <v>5000</v>
      </c>
      <c r="Q6" s="40">
        <f t="shared" ref="Q6:Q38" si="1">K6*P6</f>
        <v>5000</v>
      </c>
      <c r="R6" s="35" t="s">
        <v>73</v>
      </c>
      <c r="T6" s="2"/>
      <c r="U6" s="2"/>
      <c r="V6" s="2"/>
      <c r="W6" s="2"/>
      <c r="X6" s="2"/>
      <c r="Y6" s="2"/>
      <c r="AA6" s="17"/>
    </row>
    <row r="7" spans="1:27" x14ac:dyDescent="0.2">
      <c r="A7" s="16"/>
      <c r="B7" s="17"/>
      <c r="C7" s="17"/>
      <c r="D7" s="16"/>
      <c r="E7" s="17"/>
      <c r="F7" s="17"/>
      <c r="G7" s="17"/>
      <c r="H7" s="17" t="s">
        <v>262</v>
      </c>
      <c r="I7" s="17">
        <v>0</v>
      </c>
      <c r="J7" s="55" t="s">
        <v>617</v>
      </c>
      <c r="K7" s="17">
        <f t="shared" si="0"/>
        <v>0</v>
      </c>
      <c r="L7" s="17">
        <v>1</v>
      </c>
      <c r="M7" s="17"/>
      <c r="N7" s="17" t="s">
        <v>279</v>
      </c>
      <c r="O7" s="46"/>
      <c r="P7" s="44">
        <v>5000</v>
      </c>
      <c r="Q7" s="40">
        <f t="shared" si="1"/>
        <v>0</v>
      </c>
      <c r="R7" s="36" t="s">
        <v>74</v>
      </c>
      <c r="T7" s="2"/>
      <c r="U7" s="2"/>
      <c r="V7" s="2"/>
      <c r="W7" s="2"/>
      <c r="X7" s="2"/>
      <c r="Y7" s="2"/>
      <c r="AA7" s="17"/>
    </row>
    <row r="8" spans="1:27" x14ac:dyDescent="0.2">
      <c r="A8" s="16"/>
      <c r="B8" s="17"/>
      <c r="C8" s="17"/>
      <c r="D8" s="16"/>
      <c r="E8" s="17"/>
      <c r="F8" s="17"/>
      <c r="G8" s="17"/>
      <c r="H8" s="17" t="s">
        <v>263</v>
      </c>
      <c r="I8" s="17">
        <v>0</v>
      </c>
      <c r="J8" s="55" t="s">
        <v>264</v>
      </c>
      <c r="K8" s="17">
        <f t="shared" si="0"/>
        <v>0</v>
      </c>
      <c r="L8" s="17">
        <v>1</v>
      </c>
      <c r="M8" s="17"/>
      <c r="N8" s="17" t="s">
        <v>279</v>
      </c>
      <c r="O8" s="16"/>
      <c r="P8" s="44">
        <v>5000</v>
      </c>
      <c r="Q8" s="40">
        <f t="shared" si="1"/>
        <v>0</v>
      </c>
      <c r="R8" s="8"/>
      <c r="T8" s="2"/>
      <c r="U8" s="2"/>
      <c r="V8" s="2"/>
      <c r="W8" s="2"/>
      <c r="X8" s="2"/>
      <c r="Y8" s="2"/>
      <c r="AA8" s="17"/>
    </row>
    <row r="9" spans="1:27" x14ac:dyDescent="0.2">
      <c r="A9" s="16"/>
      <c r="B9" s="17"/>
      <c r="C9" s="17"/>
      <c r="D9" s="16"/>
      <c r="E9" s="16"/>
      <c r="F9" s="16"/>
      <c r="G9" s="17"/>
      <c r="H9" s="17" t="s">
        <v>265</v>
      </c>
      <c r="I9" s="17">
        <v>0</v>
      </c>
      <c r="J9" s="55" t="s">
        <v>266</v>
      </c>
      <c r="K9" s="17">
        <f t="shared" si="0"/>
        <v>0</v>
      </c>
      <c r="L9" s="17">
        <v>1</v>
      </c>
      <c r="M9" s="17"/>
      <c r="N9" s="17" t="s">
        <v>279</v>
      </c>
      <c r="O9" s="16"/>
      <c r="P9" s="44">
        <v>5000</v>
      </c>
      <c r="Q9" s="40">
        <f t="shared" si="1"/>
        <v>0</v>
      </c>
      <c r="R9" s="8"/>
      <c r="T9" s="2"/>
      <c r="U9" s="2"/>
      <c r="V9" s="2"/>
      <c r="W9" s="2"/>
      <c r="X9" s="2"/>
      <c r="Y9" s="2"/>
      <c r="AA9" s="17"/>
    </row>
    <row r="10" spans="1:27" x14ac:dyDescent="0.2">
      <c r="A10" s="16"/>
      <c r="B10" s="17"/>
      <c r="C10" s="17"/>
      <c r="D10" s="16"/>
      <c r="E10" s="17"/>
      <c r="F10" s="17"/>
      <c r="G10" s="17"/>
      <c r="H10" s="17" t="s">
        <v>267</v>
      </c>
      <c r="I10" s="17">
        <v>0</v>
      </c>
      <c r="J10" s="55" t="s">
        <v>268</v>
      </c>
      <c r="K10" s="17">
        <f t="shared" si="0"/>
        <v>0</v>
      </c>
      <c r="L10" s="17">
        <v>1</v>
      </c>
      <c r="M10" s="17"/>
      <c r="N10" s="17" t="s">
        <v>279</v>
      </c>
      <c r="O10" s="16"/>
      <c r="P10" s="44">
        <v>5000</v>
      </c>
      <c r="Q10" s="40">
        <f t="shared" si="1"/>
        <v>0</v>
      </c>
      <c r="T10" s="2"/>
      <c r="U10" s="2"/>
      <c r="V10" s="2"/>
      <c r="W10" s="2"/>
      <c r="X10" s="2"/>
      <c r="Y10" s="2">
        <f t="shared" ref="Y10:Y36" si="2">SUMIF($T$1:$X$1,"T",T10:X10)</f>
        <v>0</v>
      </c>
      <c r="AA10" s="17" t="s">
        <v>41</v>
      </c>
    </row>
    <row r="11" spans="1:27" x14ac:dyDescent="0.2">
      <c r="A11" s="16"/>
      <c r="B11" s="17"/>
      <c r="C11" s="17"/>
      <c r="D11" s="16"/>
      <c r="E11" s="17"/>
      <c r="F11" s="17"/>
      <c r="G11" s="17"/>
      <c r="H11" s="17" t="s">
        <v>270</v>
      </c>
      <c r="I11" s="17">
        <v>0</v>
      </c>
      <c r="J11" s="55" t="s">
        <v>269</v>
      </c>
      <c r="K11" s="17">
        <f t="shared" si="0"/>
        <v>0</v>
      </c>
      <c r="L11" s="17">
        <v>1</v>
      </c>
      <c r="M11" s="17"/>
      <c r="N11" s="17" t="s">
        <v>279</v>
      </c>
      <c r="O11" s="16"/>
      <c r="P11" s="44">
        <v>5000</v>
      </c>
      <c r="Q11" s="40">
        <f t="shared" si="1"/>
        <v>0</v>
      </c>
      <c r="T11" s="2"/>
      <c r="U11" s="2"/>
      <c r="V11" s="2"/>
      <c r="W11" s="2"/>
      <c r="X11" s="2"/>
      <c r="Y11" s="2">
        <f t="shared" si="2"/>
        <v>0</v>
      </c>
      <c r="AA11" s="17" t="s">
        <v>60</v>
      </c>
    </row>
    <row r="12" spans="1:27" x14ac:dyDescent="0.2">
      <c r="A12" s="16"/>
      <c r="B12" s="17"/>
      <c r="C12" s="17"/>
      <c r="D12" s="16"/>
      <c r="E12" s="17"/>
      <c r="F12" s="17"/>
      <c r="G12" s="17"/>
      <c r="H12" s="17" t="s">
        <v>271</v>
      </c>
      <c r="I12" s="17">
        <v>0</v>
      </c>
      <c r="J12" s="55" t="s">
        <v>272</v>
      </c>
      <c r="K12" s="17">
        <f t="shared" si="0"/>
        <v>0</v>
      </c>
      <c r="L12" s="17">
        <v>1</v>
      </c>
      <c r="M12" s="17"/>
      <c r="N12" s="17" t="s">
        <v>279</v>
      </c>
      <c r="O12" s="16"/>
      <c r="P12" s="44">
        <v>5000</v>
      </c>
      <c r="Q12" s="40">
        <f t="shared" si="1"/>
        <v>0</v>
      </c>
      <c r="R12" s="8"/>
      <c r="T12" s="2"/>
      <c r="U12" s="2"/>
      <c r="V12" s="2"/>
      <c r="W12" s="2"/>
      <c r="X12" s="2"/>
      <c r="Y12" s="2">
        <f t="shared" si="2"/>
        <v>0</v>
      </c>
      <c r="AA12" s="17" t="s">
        <v>43</v>
      </c>
    </row>
    <row r="13" spans="1:27" x14ac:dyDescent="0.2">
      <c r="A13" s="16"/>
      <c r="B13" s="17"/>
      <c r="C13" s="17"/>
      <c r="D13" s="16"/>
      <c r="E13" s="17"/>
      <c r="F13" s="17"/>
      <c r="G13" s="17"/>
      <c r="H13" s="17" t="s">
        <v>273</v>
      </c>
      <c r="I13" s="17">
        <v>1</v>
      </c>
      <c r="J13" s="55" t="s">
        <v>274</v>
      </c>
      <c r="K13" s="17">
        <f t="shared" si="0"/>
        <v>1</v>
      </c>
      <c r="L13" s="17">
        <v>1</v>
      </c>
      <c r="M13" s="17"/>
      <c r="N13" s="17" t="s">
        <v>279</v>
      </c>
      <c r="O13" s="16">
        <v>46137</v>
      </c>
      <c r="P13" s="44">
        <v>5000</v>
      </c>
      <c r="Q13" s="40">
        <f t="shared" si="1"/>
        <v>5000</v>
      </c>
      <c r="R13" s="8"/>
      <c r="T13" s="2"/>
      <c r="U13" s="2"/>
      <c r="V13" s="2"/>
      <c r="W13" s="2"/>
      <c r="X13" s="2"/>
      <c r="Y13" s="2">
        <f t="shared" si="2"/>
        <v>0</v>
      </c>
      <c r="AA13" s="17" t="s">
        <v>45</v>
      </c>
    </row>
    <row r="14" spans="1:27" x14ac:dyDescent="0.2">
      <c r="A14" s="16"/>
      <c r="B14" s="17"/>
      <c r="C14" s="17"/>
      <c r="D14" s="16"/>
      <c r="E14" s="17"/>
      <c r="F14" s="17"/>
      <c r="G14" s="17"/>
      <c r="H14" s="17" t="s">
        <v>275</v>
      </c>
      <c r="I14" s="17">
        <v>0</v>
      </c>
      <c r="J14" s="55" t="s">
        <v>276</v>
      </c>
      <c r="K14" s="17">
        <f t="shared" si="0"/>
        <v>0</v>
      </c>
      <c r="L14" s="17">
        <v>1</v>
      </c>
      <c r="M14" s="17"/>
      <c r="N14" s="17" t="s">
        <v>279</v>
      </c>
      <c r="O14" s="16">
        <v>45838</v>
      </c>
      <c r="P14" s="44">
        <v>5000</v>
      </c>
      <c r="Q14" s="40">
        <f t="shared" si="1"/>
        <v>0</v>
      </c>
      <c r="R14" s="8"/>
      <c r="T14" s="2"/>
      <c r="U14" s="2"/>
      <c r="V14" s="2"/>
      <c r="W14" s="2"/>
      <c r="X14" s="2"/>
      <c r="Y14" s="2">
        <f t="shared" si="2"/>
        <v>0</v>
      </c>
      <c r="AA14" s="17" t="s">
        <v>44</v>
      </c>
    </row>
    <row r="15" spans="1:27" x14ac:dyDescent="0.2">
      <c r="A15" s="16"/>
      <c r="B15" s="17"/>
      <c r="C15" s="17"/>
      <c r="D15" s="16"/>
      <c r="E15" s="17"/>
      <c r="F15" s="17"/>
      <c r="G15" s="17"/>
      <c r="H15" s="17" t="s">
        <v>277</v>
      </c>
      <c r="I15" s="17">
        <v>0</v>
      </c>
      <c r="J15" s="55" t="s">
        <v>278</v>
      </c>
      <c r="K15" s="17">
        <f t="shared" si="0"/>
        <v>0</v>
      </c>
      <c r="L15" s="17">
        <v>1</v>
      </c>
      <c r="M15" s="17"/>
      <c r="N15" s="17" t="s">
        <v>279</v>
      </c>
      <c r="O15" s="16"/>
      <c r="P15" s="44">
        <v>5000</v>
      </c>
      <c r="Q15" s="40">
        <f t="shared" si="1"/>
        <v>0</v>
      </c>
      <c r="R15" s="8"/>
      <c r="T15" s="2"/>
      <c r="U15" s="2"/>
      <c r="V15" s="2"/>
      <c r="W15" s="2"/>
      <c r="X15" s="2"/>
      <c r="Y15" s="2">
        <f t="shared" si="2"/>
        <v>0</v>
      </c>
      <c r="AA15" s="17" t="s">
        <v>57</v>
      </c>
    </row>
    <row r="16" spans="1:27" x14ac:dyDescent="0.2">
      <c r="A16" s="16"/>
      <c r="B16" s="17"/>
      <c r="C16" s="17"/>
      <c r="D16" s="16"/>
      <c r="E16" s="17"/>
      <c r="F16" s="17"/>
      <c r="G16" s="17"/>
      <c r="H16" s="17" t="s">
        <v>280</v>
      </c>
      <c r="I16" s="17">
        <v>0</v>
      </c>
      <c r="J16" s="55" t="s">
        <v>281</v>
      </c>
      <c r="K16" s="17">
        <f t="shared" si="0"/>
        <v>0</v>
      </c>
      <c r="L16" s="17">
        <v>10</v>
      </c>
      <c r="M16" s="17"/>
      <c r="N16" s="17" t="s">
        <v>279</v>
      </c>
      <c r="O16" s="16"/>
      <c r="P16" s="44">
        <v>5000</v>
      </c>
      <c r="Q16" s="40">
        <f t="shared" si="1"/>
        <v>0</v>
      </c>
      <c r="R16" s="8" t="s">
        <v>67</v>
      </c>
      <c r="T16" s="2"/>
      <c r="U16" s="2"/>
      <c r="V16" s="2"/>
      <c r="W16" s="2"/>
      <c r="X16" s="2"/>
      <c r="Y16" s="2">
        <f t="shared" si="2"/>
        <v>0</v>
      </c>
      <c r="AA16" s="17" t="s">
        <v>46</v>
      </c>
    </row>
    <row r="17" spans="1:27" x14ac:dyDescent="0.2">
      <c r="A17" s="16"/>
      <c r="B17" s="17"/>
      <c r="C17" s="17"/>
      <c r="D17" s="16"/>
      <c r="E17" s="17"/>
      <c r="F17" s="8"/>
      <c r="G17" s="17"/>
      <c r="H17" s="17" t="s">
        <v>282</v>
      </c>
      <c r="I17" s="17">
        <v>0</v>
      </c>
      <c r="J17" s="55" t="s">
        <v>284</v>
      </c>
      <c r="K17" s="17">
        <f t="shared" si="0"/>
        <v>0</v>
      </c>
      <c r="L17" s="17">
        <v>10</v>
      </c>
      <c r="M17" s="17"/>
      <c r="N17" s="17" t="s">
        <v>279</v>
      </c>
      <c r="O17" s="16">
        <v>45801</v>
      </c>
      <c r="P17" s="44">
        <v>5000</v>
      </c>
      <c r="Q17" s="40">
        <f t="shared" si="1"/>
        <v>0</v>
      </c>
      <c r="R17" s="8"/>
      <c r="T17" s="2"/>
      <c r="U17" s="2"/>
      <c r="V17" s="2"/>
      <c r="W17" s="2"/>
      <c r="X17" s="2"/>
      <c r="Y17" s="2">
        <f t="shared" si="2"/>
        <v>0</v>
      </c>
      <c r="AA17" s="17" t="s">
        <v>197</v>
      </c>
    </row>
    <row r="18" spans="1:27" x14ac:dyDescent="0.2">
      <c r="A18" s="16"/>
      <c r="B18" s="17"/>
      <c r="C18" s="17"/>
      <c r="D18" s="16"/>
      <c r="E18" s="17"/>
      <c r="F18" s="17"/>
      <c r="G18" s="17"/>
      <c r="H18" s="17" t="s">
        <v>283</v>
      </c>
      <c r="I18" s="17">
        <v>0</v>
      </c>
      <c r="J18" s="55" t="s">
        <v>285</v>
      </c>
      <c r="K18" s="17">
        <f t="shared" si="0"/>
        <v>0</v>
      </c>
      <c r="L18" s="17">
        <v>10</v>
      </c>
      <c r="M18" s="17"/>
      <c r="N18" s="17" t="s">
        <v>279</v>
      </c>
      <c r="O18" s="16"/>
      <c r="P18" s="44">
        <v>5000</v>
      </c>
      <c r="Q18" s="40">
        <f t="shared" si="1"/>
        <v>0</v>
      </c>
      <c r="R18" s="8"/>
      <c r="T18" s="2"/>
      <c r="U18" s="2"/>
      <c r="V18" s="2"/>
      <c r="W18" s="2"/>
      <c r="X18" s="2"/>
      <c r="Y18" s="2"/>
      <c r="AA18" s="17" t="s">
        <v>217</v>
      </c>
    </row>
    <row r="19" spans="1:27" x14ac:dyDescent="0.2">
      <c r="A19" s="16"/>
      <c r="B19" s="17"/>
      <c r="C19" s="17"/>
      <c r="D19" s="16"/>
      <c r="E19" s="17"/>
      <c r="F19" s="17"/>
      <c r="G19" s="17"/>
      <c r="H19" s="17" t="s">
        <v>286</v>
      </c>
      <c r="I19" s="17">
        <v>0</v>
      </c>
      <c r="J19" s="55" t="s">
        <v>287</v>
      </c>
      <c r="K19" s="17">
        <f t="shared" si="0"/>
        <v>0</v>
      </c>
      <c r="L19" s="17">
        <v>10</v>
      </c>
      <c r="M19" s="17"/>
      <c r="N19" s="17" t="s">
        <v>279</v>
      </c>
      <c r="O19" s="16">
        <v>46054</v>
      </c>
      <c r="P19" s="44">
        <v>5000</v>
      </c>
      <c r="Q19" s="40">
        <f t="shared" si="1"/>
        <v>0</v>
      </c>
      <c r="R19" s="8"/>
      <c r="T19" s="2"/>
      <c r="U19" s="2"/>
      <c r="V19" s="2"/>
      <c r="W19" s="2"/>
      <c r="X19" s="2"/>
      <c r="Y19" s="2">
        <f t="shared" si="2"/>
        <v>0</v>
      </c>
      <c r="AA19" s="17" t="s">
        <v>64</v>
      </c>
    </row>
    <row r="20" spans="1:27" x14ac:dyDescent="0.2">
      <c r="A20" s="16"/>
      <c r="B20" s="17"/>
      <c r="C20" s="17"/>
      <c r="D20" s="16"/>
      <c r="E20" s="17"/>
      <c r="F20" s="17"/>
      <c r="G20" s="17"/>
      <c r="H20" s="17" t="s">
        <v>288</v>
      </c>
      <c r="I20" s="17">
        <v>0</v>
      </c>
      <c r="J20" s="55" t="s">
        <v>289</v>
      </c>
      <c r="K20" s="17">
        <f t="shared" si="0"/>
        <v>0</v>
      </c>
      <c r="L20" s="17">
        <v>10</v>
      </c>
      <c r="M20" s="17"/>
      <c r="N20" s="17" t="s">
        <v>279</v>
      </c>
      <c r="O20" s="16">
        <v>46117</v>
      </c>
      <c r="P20" s="44">
        <v>5000</v>
      </c>
      <c r="Q20" s="40">
        <f t="shared" si="1"/>
        <v>0</v>
      </c>
      <c r="R20" s="8"/>
      <c r="T20" s="2"/>
      <c r="U20" s="2"/>
      <c r="V20" s="2"/>
      <c r="W20" s="2"/>
      <c r="X20" s="2"/>
      <c r="Y20" s="2">
        <f t="shared" si="2"/>
        <v>0</v>
      </c>
      <c r="AA20" s="17" t="s">
        <v>59</v>
      </c>
    </row>
    <row r="21" spans="1:27" x14ac:dyDescent="0.2">
      <c r="A21" s="16"/>
      <c r="B21" s="17"/>
      <c r="C21" s="17"/>
      <c r="D21" s="16"/>
      <c r="E21" s="17"/>
      <c r="F21" s="17"/>
      <c r="G21" s="17"/>
      <c r="H21" s="17" t="s">
        <v>290</v>
      </c>
      <c r="I21" s="17">
        <v>0</v>
      </c>
      <c r="J21" s="55" t="s">
        <v>291</v>
      </c>
      <c r="K21" s="17">
        <f t="shared" si="0"/>
        <v>0</v>
      </c>
      <c r="L21" s="17">
        <v>10</v>
      </c>
      <c r="M21" s="17"/>
      <c r="N21" s="17" t="s">
        <v>279</v>
      </c>
      <c r="O21" s="16"/>
      <c r="P21" s="44">
        <v>5000</v>
      </c>
      <c r="Q21" s="40">
        <f t="shared" si="1"/>
        <v>0</v>
      </c>
      <c r="R21" s="8"/>
      <c r="S21" s="49">
        <f>Q22+Q31+Q20</f>
        <v>0</v>
      </c>
      <c r="T21" s="2"/>
      <c r="U21" s="2"/>
      <c r="V21" s="2"/>
      <c r="W21" s="2"/>
      <c r="X21" s="2"/>
      <c r="Y21" s="2"/>
      <c r="AA21" s="17" t="s">
        <v>63</v>
      </c>
    </row>
    <row r="22" spans="1:27" x14ac:dyDescent="0.2">
      <c r="A22" s="16"/>
      <c r="B22" s="17"/>
      <c r="C22" s="17"/>
      <c r="D22" s="16"/>
      <c r="E22" s="17"/>
      <c r="F22" s="17"/>
      <c r="G22" s="17"/>
      <c r="H22" s="17" t="s">
        <v>293</v>
      </c>
      <c r="I22" s="17">
        <v>0</v>
      </c>
      <c r="J22" s="55" t="s">
        <v>292</v>
      </c>
      <c r="K22" s="17">
        <f t="shared" si="0"/>
        <v>0</v>
      </c>
      <c r="L22" s="17">
        <v>10</v>
      </c>
      <c r="M22" s="17"/>
      <c r="N22" s="17" t="s">
        <v>279</v>
      </c>
      <c r="O22" s="16">
        <v>46132</v>
      </c>
      <c r="P22" s="44">
        <v>5000</v>
      </c>
      <c r="Q22" s="40">
        <f t="shared" si="1"/>
        <v>0</v>
      </c>
      <c r="R22" s="8"/>
      <c r="S22" s="1" t="s">
        <v>67</v>
      </c>
      <c r="T22" s="2"/>
      <c r="U22" s="2"/>
      <c r="V22" s="2"/>
      <c r="W22" s="2"/>
      <c r="X22" s="2"/>
      <c r="Y22" s="2">
        <f t="shared" si="2"/>
        <v>0</v>
      </c>
      <c r="AA22" s="17" t="s">
        <v>49</v>
      </c>
    </row>
    <row r="23" spans="1:27" x14ac:dyDescent="0.2">
      <c r="A23" s="16"/>
      <c r="B23" s="17"/>
      <c r="C23" s="17"/>
      <c r="D23" s="16"/>
      <c r="E23" s="17"/>
      <c r="F23" s="17"/>
      <c r="G23" s="17"/>
      <c r="H23" s="17" t="s">
        <v>295</v>
      </c>
      <c r="I23" s="17">
        <v>0</v>
      </c>
      <c r="J23" s="55" t="s">
        <v>294</v>
      </c>
      <c r="K23" s="17">
        <f t="shared" si="0"/>
        <v>0</v>
      </c>
      <c r="L23" s="17">
        <v>10</v>
      </c>
      <c r="M23" s="17"/>
      <c r="N23" s="17" t="s">
        <v>279</v>
      </c>
      <c r="O23" s="16"/>
      <c r="P23" s="44">
        <v>5000</v>
      </c>
      <c r="Q23" s="40">
        <f t="shared" si="1"/>
        <v>0</v>
      </c>
      <c r="R23" s="8"/>
      <c r="T23" s="2"/>
      <c r="U23" s="2"/>
      <c r="V23" s="2"/>
      <c r="W23" s="2"/>
      <c r="X23" s="2"/>
      <c r="Y23" s="2">
        <f t="shared" si="2"/>
        <v>0</v>
      </c>
      <c r="AA23" s="17" t="s">
        <v>56</v>
      </c>
    </row>
    <row r="24" spans="1:27" x14ac:dyDescent="0.2">
      <c r="A24" s="16"/>
      <c r="B24" s="17"/>
      <c r="C24" s="17"/>
      <c r="D24" s="16"/>
      <c r="E24" s="17"/>
      <c r="F24" s="17"/>
      <c r="G24" s="17"/>
      <c r="H24" s="17" t="s">
        <v>296</v>
      </c>
      <c r="I24" s="17">
        <v>0</v>
      </c>
      <c r="J24" s="55" t="s">
        <v>297</v>
      </c>
      <c r="K24" s="17">
        <f t="shared" si="0"/>
        <v>0</v>
      </c>
      <c r="L24" s="17">
        <v>10</v>
      </c>
      <c r="M24" s="17"/>
      <c r="N24" s="17" t="s">
        <v>279</v>
      </c>
      <c r="O24" s="16"/>
      <c r="P24" s="44">
        <v>5000</v>
      </c>
      <c r="Q24" s="40">
        <f t="shared" si="1"/>
        <v>0</v>
      </c>
      <c r="R24" s="8"/>
      <c r="T24" s="2"/>
      <c r="U24" s="2"/>
      <c r="V24" s="2"/>
      <c r="W24" s="2"/>
      <c r="X24" s="2"/>
      <c r="Y24" s="2">
        <f t="shared" si="2"/>
        <v>0</v>
      </c>
      <c r="AA24" s="17" t="s">
        <v>55</v>
      </c>
    </row>
    <row r="25" spans="1:27" x14ac:dyDescent="0.2">
      <c r="A25" s="16"/>
      <c r="B25" s="17"/>
      <c r="C25" s="17"/>
      <c r="D25" s="16"/>
      <c r="E25" s="17"/>
      <c r="F25" s="17"/>
      <c r="G25" s="17"/>
      <c r="H25" s="17" t="s">
        <v>298</v>
      </c>
      <c r="I25" s="17">
        <v>0</v>
      </c>
      <c r="J25" s="55" t="s">
        <v>299</v>
      </c>
      <c r="K25" s="17">
        <f t="shared" si="0"/>
        <v>0</v>
      </c>
      <c r="L25" s="17">
        <v>10</v>
      </c>
      <c r="M25" s="17"/>
      <c r="N25" s="17" t="s">
        <v>279</v>
      </c>
      <c r="O25" s="16"/>
      <c r="P25" s="44">
        <v>5000</v>
      </c>
      <c r="Q25" s="40">
        <f t="shared" si="1"/>
        <v>0</v>
      </c>
      <c r="R25" s="8"/>
      <c r="T25" s="2"/>
      <c r="U25" s="2"/>
      <c r="V25" s="2"/>
      <c r="W25" s="2"/>
      <c r="X25" s="2"/>
      <c r="Y25" s="2"/>
      <c r="AA25" s="17" t="s">
        <v>250</v>
      </c>
    </row>
    <row r="26" spans="1:27" x14ac:dyDescent="0.2">
      <c r="A26" s="16"/>
      <c r="B26" s="17"/>
      <c r="C26" s="17"/>
      <c r="D26" s="16"/>
      <c r="E26" s="17"/>
      <c r="F26" s="17"/>
      <c r="G26" s="17"/>
      <c r="H26" s="17" t="s">
        <v>300</v>
      </c>
      <c r="I26" s="17">
        <v>0</v>
      </c>
      <c r="J26" s="55" t="s">
        <v>301</v>
      </c>
      <c r="K26" s="17">
        <f t="shared" si="0"/>
        <v>0</v>
      </c>
      <c r="L26" s="17">
        <v>10</v>
      </c>
      <c r="M26" s="17"/>
      <c r="N26" s="17" t="s">
        <v>279</v>
      </c>
      <c r="O26" s="16"/>
      <c r="P26" s="44">
        <v>5000</v>
      </c>
      <c r="Q26" s="40">
        <f t="shared" si="1"/>
        <v>0</v>
      </c>
      <c r="R26" s="8"/>
      <c r="T26" s="2"/>
      <c r="U26" s="2"/>
      <c r="V26" s="2"/>
      <c r="W26" s="2"/>
      <c r="X26" s="2"/>
      <c r="Y26" s="2">
        <f t="shared" si="2"/>
        <v>0</v>
      </c>
      <c r="AA26" s="17" t="s">
        <v>205</v>
      </c>
    </row>
    <row r="27" spans="1:27" x14ac:dyDescent="0.2">
      <c r="A27" s="16"/>
      <c r="B27" s="17"/>
      <c r="C27" s="17"/>
      <c r="D27" s="16"/>
      <c r="E27" s="17"/>
      <c r="F27" s="17"/>
      <c r="G27" s="17"/>
      <c r="H27" s="17" t="s">
        <v>302</v>
      </c>
      <c r="I27" s="17">
        <v>0</v>
      </c>
      <c r="J27" s="55" t="s">
        <v>303</v>
      </c>
      <c r="K27" s="17">
        <f t="shared" si="0"/>
        <v>0</v>
      </c>
      <c r="L27" s="17">
        <v>10</v>
      </c>
      <c r="M27" s="17"/>
      <c r="N27" s="17" t="s">
        <v>279</v>
      </c>
      <c r="O27" s="16"/>
      <c r="P27" s="44">
        <v>5000</v>
      </c>
      <c r="Q27" s="40">
        <f t="shared" si="1"/>
        <v>0</v>
      </c>
      <c r="R27" s="8"/>
      <c r="T27" s="2"/>
      <c r="U27" s="2"/>
      <c r="V27" s="2"/>
      <c r="W27" s="2"/>
      <c r="X27" s="2"/>
      <c r="Y27" s="2">
        <f t="shared" si="2"/>
        <v>0</v>
      </c>
      <c r="AA27" s="17" t="s">
        <v>50</v>
      </c>
    </row>
    <row r="28" spans="1:27" x14ac:dyDescent="0.2">
      <c r="A28" s="16"/>
      <c r="B28" s="17"/>
      <c r="C28" s="17"/>
      <c r="D28" s="16"/>
      <c r="E28" s="17"/>
      <c r="F28" s="17"/>
      <c r="G28" s="17"/>
      <c r="H28" s="17" t="s">
        <v>305</v>
      </c>
      <c r="I28" s="17">
        <v>0</v>
      </c>
      <c r="J28" s="55" t="s">
        <v>304</v>
      </c>
      <c r="K28" s="17">
        <f t="shared" si="0"/>
        <v>0</v>
      </c>
      <c r="L28" s="17">
        <v>10</v>
      </c>
      <c r="M28" s="17"/>
      <c r="N28" s="17" t="s">
        <v>279</v>
      </c>
      <c r="O28" s="16">
        <v>45770</v>
      </c>
      <c r="P28" s="44">
        <v>5000</v>
      </c>
      <c r="Q28" s="40">
        <f t="shared" si="1"/>
        <v>0</v>
      </c>
      <c r="R28" s="8"/>
      <c r="T28" s="2"/>
      <c r="U28" s="2"/>
      <c r="V28" s="2"/>
      <c r="W28" s="2"/>
      <c r="X28" s="2"/>
      <c r="Y28" s="2">
        <f t="shared" si="2"/>
        <v>0</v>
      </c>
      <c r="AA28" s="17" t="s">
        <v>58</v>
      </c>
    </row>
    <row r="29" spans="1:27" x14ac:dyDescent="0.2">
      <c r="A29" s="16"/>
      <c r="B29" s="17"/>
      <c r="C29" s="17"/>
      <c r="D29" s="16"/>
      <c r="E29" s="17"/>
      <c r="F29" s="17"/>
      <c r="G29" s="17"/>
      <c r="H29" s="17" t="s">
        <v>306</v>
      </c>
      <c r="I29" s="17">
        <v>0</v>
      </c>
      <c r="J29" s="55" t="s">
        <v>307</v>
      </c>
      <c r="K29" s="17">
        <f t="shared" si="0"/>
        <v>0</v>
      </c>
      <c r="L29" s="17">
        <v>10</v>
      </c>
      <c r="M29" s="17"/>
      <c r="N29" s="17" t="s">
        <v>279</v>
      </c>
      <c r="O29" s="16"/>
      <c r="P29" s="44">
        <v>5000</v>
      </c>
      <c r="Q29" s="40">
        <f t="shared" si="1"/>
        <v>0</v>
      </c>
      <c r="R29" s="8"/>
      <c r="T29" s="2"/>
      <c r="U29" s="2"/>
      <c r="V29" s="2"/>
      <c r="W29" s="2"/>
      <c r="X29" s="2"/>
      <c r="Y29" s="2">
        <f t="shared" si="2"/>
        <v>0</v>
      </c>
      <c r="AA29" s="17" t="s">
        <v>51</v>
      </c>
    </row>
    <row r="30" spans="1:27" x14ac:dyDescent="0.2">
      <c r="A30" s="16"/>
      <c r="B30" s="17"/>
      <c r="C30" s="17"/>
      <c r="D30" s="16"/>
      <c r="E30" s="17"/>
      <c r="F30" s="17"/>
      <c r="G30" s="17"/>
      <c r="H30" s="17" t="s">
        <v>308</v>
      </c>
      <c r="I30" s="17">
        <v>0</v>
      </c>
      <c r="J30" s="55" t="s">
        <v>309</v>
      </c>
      <c r="K30" s="17">
        <f t="shared" si="0"/>
        <v>0</v>
      </c>
      <c r="L30" s="17">
        <v>10</v>
      </c>
      <c r="M30" s="17"/>
      <c r="N30" s="17" t="s">
        <v>279</v>
      </c>
      <c r="O30" s="16">
        <v>45758</v>
      </c>
      <c r="P30" s="44">
        <v>5000</v>
      </c>
      <c r="Q30" s="40">
        <f t="shared" si="1"/>
        <v>0</v>
      </c>
      <c r="R30" s="8"/>
      <c r="T30" s="2"/>
      <c r="U30" s="2"/>
      <c r="V30" s="2"/>
      <c r="W30" s="2"/>
      <c r="X30" s="2"/>
      <c r="Y30" s="2"/>
      <c r="AA30" s="17" t="s">
        <v>158</v>
      </c>
    </row>
    <row r="31" spans="1:27" x14ac:dyDescent="0.2">
      <c r="A31" s="16"/>
      <c r="B31" s="17"/>
      <c r="C31" s="17"/>
      <c r="D31" s="16"/>
      <c r="E31" s="17"/>
      <c r="F31" s="17"/>
      <c r="G31" s="17"/>
      <c r="H31" s="17" t="s">
        <v>310</v>
      </c>
      <c r="I31" s="17">
        <v>0</v>
      </c>
      <c r="J31" s="55" t="s">
        <v>311</v>
      </c>
      <c r="K31" s="17">
        <f t="shared" si="0"/>
        <v>0</v>
      </c>
      <c r="L31" s="17">
        <v>10</v>
      </c>
      <c r="M31" s="17"/>
      <c r="N31" s="17" t="s">
        <v>279</v>
      </c>
      <c r="O31" s="16">
        <v>45858</v>
      </c>
      <c r="P31" s="44">
        <v>5000</v>
      </c>
      <c r="Q31" s="40">
        <f t="shared" si="1"/>
        <v>0</v>
      </c>
      <c r="R31" s="8" t="s">
        <v>67</v>
      </c>
      <c r="T31" s="2"/>
      <c r="U31" s="2"/>
      <c r="V31" s="2"/>
      <c r="W31" s="2"/>
      <c r="X31" s="2"/>
      <c r="Y31" s="2">
        <f t="shared" si="2"/>
        <v>0</v>
      </c>
      <c r="AA31" s="17" t="s">
        <v>65</v>
      </c>
    </row>
    <row r="32" spans="1:27" x14ac:dyDescent="0.2">
      <c r="A32" s="16"/>
      <c r="B32" s="17"/>
      <c r="C32" s="17"/>
      <c r="D32" s="16"/>
      <c r="E32" s="17"/>
      <c r="F32" s="17"/>
      <c r="G32" s="17"/>
      <c r="H32" s="17" t="s">
        <v>313</v>
      </c>
      <c r="I32" s="17">
        <v>0</v>
      </c>
      <c r="J32" s="55" t="s">
        <v>312</v>
      </c>
      <c r="K32" s="17">
        <f t="shared" si="0"/>
        <v>0</v>
      </c>
      <c r="L32" s="17">
        <v>0</v>
      </c>
      <c r="M32" s="17"/>
      <c r="N32" s="17" t="s">
        <v>279</v>
      </c>
      <c r="O32" s="16"/>
      <c r="P32" s="45"/>
      <c r="Q32" s="40">
        <f t="shared" si="1"/>
        <v>0</v>
      </c>
      <c r="R32" s="8"/>
      <c r="T32" s="2"/>
      <c r="U32" s="2"/>
      <c r="V32" s="2"/>
      <c r="W32" s="2"/>
      <c r="X32" s="2"/>
      <c r="Y32" s="2">
        <f t="shared" si="2"/>
        <v>0</v>
      </c>
      <c r="AA32" s="17" t="s">
        <v>66</v>
      </c>
    </row>
    <row r="33" spans="1:27" x14ac:dyDescent="0.2">
      <c r="A33" s="16"/>
      <c r="B33" s="17"/>
      <c r="C33" s="17"/>
      <c r="D33" s="16"/>
      <c r="E33" s="17"/>
      <c r="F33" s="17"/>
      <c r="G33" s="17"/>
      <c r="H33" s="17" t="s">
        <v>314</v>
      </c>
      <c r="I33" s="17">
        <v>0</v>
      </c>
      <c r="J33" s="55" t="s">
        <v>315</v>
      </c>
      <c r="K33" s="17">
        <f t="shared" si="0"/>
        <v>0</v>
      </c>
      <c r="L33" s="17">
        <v>0</v>
      </c>
      <c r="M33" s="17"/>
      <c r="N33" s="17" t="s">
        <v>279</v>
      </c>
      <c r="O33" s="16">
        <v>46193</v>
      </c>
      <c r="P33" s="44"/>
      <c r="Q33" s="40">
        <f t="shared" si="1"/>
        <v>0</v>
      </c>
      <c r="R33" s="8"/>
      <c r="T33" s="2"/>
      <c r="U33" s="2"/>
      <c r="V33" s="2"/>
      <c r="W33" s="2"/>
      <c r="X33" s="2"/>
      <c r="Y33" s="2">
        <f t="shared" si="2"/>
        <v>0</v>
      </c>
      <c r="AA33" s="17" t="s">
        <v>62</v>
      </c>
    </row>
    <row r="34" spans="1:27" x14ac:dyDescent="0.2">
      <c r="A34" s="16"/>
      <c r="B34" s="17"/>
      <c r="C34" s="17"/>
      <c r="D34" s="16"/>
      <c r="E34" s="17"/>
      <c r="F34" s="17"/>
      <c r="G34" s="17"/>
      <c r="H34" s="17" t="s">
        <v>316</v>
      </c>
      <c r="I34" s="17">
        <v>0</v>
      </c>
      <c r="J34" s="55" t="s">
        <v>317</v>
      </c>
      <c r="K34" s="17">
        <f t="shared" si="0"/>
        <v>0</v>
      </c>
      <c r="L34" s="17">
        <v>0</v>
      </c>
      <c r="M34" s="17"/>
      <c r="N34" s="17" t="s">
        <v>279</v>
      </c>
      <c r="O34" s="16">
        <v>46433</v>
      </c>
      <c r="P34" s="44">
        <v>4500</v>
      </c>
      <c r="Q34" s="40">
        <f t="shared" si="1"/>
        <v>0</v>
      </c>
      <c r="R34" s="8"/>
      <c r="T34" s="2"/>
      <c r="U34" s="2"/>
      <c r="V34" s="2"/>
      <c r="W34" s="2"/>
      <c r="X34" s="2"/>
      <c r="Y34" s="2"/>
      <c r="AA34" s="17" t="s">
        <v>252</v>
      </c>
    </row>
    <row r="35" spans="1:27" x14ac:dyDescent="0.2">
      <c r="A35" s="16"/>
      <c r="B35" s="17"/>
      <c r="C35" s="17"/>
      <c r="D35" s="16"/>
      <c r="E35" s="17"/>
      <c r="F35" s="17"/>
      <c r="G35" s="17"/>
      <c r="H35" s="17" t="s">
        <v>318</v>
      </c>
      <c r="I35" s="17">
        <v>0</v>
      </c>
      <c r="J35" s="55" t="s">
        <v>319</v>
      </c>
      <c r="K35" s="17">
        <f t="shared" si="0"/>
        <v>0</v>
      </c>
      <c r="L35" s="17">
        <v>0</v>
      </c>
      <c r="M35" s="17"/>
      <c r="N35" s="17" t="s">
        <v>279</v>
      </c>
      <c r="O35" s="16"/>
      <c r="P35" s="44"/>
      <c r="Q35" s="40">
        <f t="shared" si="1"/>
        <v>0</v>
      </c>
      <c r="R35" s="8"/>
      <c r="T35" s="2"/>
      <c r="U35" s="2"/>
      <c r="V35" s="2"/>
      <c r="W35" s="2"/>
      <c r="X35" s="2"/>
      <c r="Y35" s="2"/>
      <c r="AA35" s="17" t="s">
        <v>54</v>
      </c>
    </row>
    <row r="36" spans="1:27" x14ac:dyDescent="0.2">
      <c r="A36" s="16"/>
      <c r="B36" s="17"/>
      <c r="C36" s="17"/>
      <c r="D36" s="16"/>
      <c r="E36" s="17"/>
      <c r="F36" s="17"/>
      <c r="G36" s="17"/>
      <c r="H36" s="17" t="s">
        <v>324</v>
      </c>
      <c r="I36" s="17">
        <v>0</v>
      </c>
      <c r="J36" s="55" t="s">
        <v>320</v>
      </c>
      <c r="K36" s="17">
        <f t="shared" si="0"/>
        <v>0</v>
      </c>
      <c r="L36" s="17">
        <v>0</v>
      </c>
      <c r="M36" s="17"/>
      <c r="N36" s="17" t="s">
        <v>279</v>
      </c>
      <c r="O36" s="16">
        <v>46215</v>
      </c>
      <c r="Q36" s="40">
        <f t="shared" si="1"/>
        <v>0</v>
      </c>
      <c r="R36" s="8"/>
      <c r="T36" s="2"/>
      <c r="U36" s="2"/>
      <c r="V36" s="2"/>
      <c r="W36" s="2"/>
      <c r="X36" s="2"/>
      <c r="Y36" s="2">
        <f t="shared" si="2"/>
        <v>0</v>
      </c>
      <c r="AA36" s="17" t="s">
        <v>61</v>
      </c>
    </row>
    <row r="37" spans="1:27" x14ac:dyDescent="0.2">
      <c r="A37" s="8"/>
      <c r="B37" s="8"/>
      <c r="C37" s="8"/>
      <c r="D37" s="8"/>
      <c r="E37" s="8"/>
      <c r="F37" s="8"/>
      <c r="H37" s="17" t="s">
        <v>321</v>
      </c>
      <c r="I37" s="17">
        <v>0</v>
      </c>
      <c r="J37" s="55" t="s">
        <v>325</v>
      </c>
      <c r="K37" s="17">
        <f t="shared" si="0"/>
        <v>0</v>
      </c>
      <c r="L37" s="17">
        <v>0</v>
      </c>
      <c r="M37" s="17"/>
      <c r="N37" s="17" t="s">
        <v>279</v>
      </c>
      <c r="O37" s="16">
        <v>46045</v>
      </c>
      <c r="P37" s="44"/>
      <c r="Q37" s="40">
        <f t="shared" si="1"/>
        <v>0</v>
      </c>
    </row>
    <row r="38" spans="1:27" x14ac:dyDescent="0.2">
      <c r="A38" s="8"/>
      <c r="B38" s="8"/>
      <c r="C38" s="8"/>
      <c r="D38" s="8"/>
      <c r="E38" s="8"/>
      <c r="F38" s="8"/>
      <c r="H38" s="50" t="s">
        <v>322</v>
      </c>
      <c r="I38" s="17">
        <v>0</v>
      </c>
      <c r="J38" s="55" t="s">
        <v>323</v>
      </c>
      <c r="K38" s="17">
        <f t="shared" si="0"/>
        <v>0</v>
      </c>
      <c r="L38" s="17">
        <v>0</v>
      </c>
      <c r="M38" s="17"/>
      <c r="N38" s="17" t="s">
        <v>279</v>
      </c>
      <c r="O38" s="16">
        <v>45984</v>
      </c>
      <c r="P38" s="44"/>
      <c r="Q38" s="40">
        <f t="shared" si="1"/>
        <v>0</v>
      </c>
    </row>
    <row r="39" spans="1:27" x14ac:dyDescent="0.2">
      <c r="A39" s="8"/>
      <c r="B39" s="8"/>
      <c r="C39" s="8"/>
      <c r="D39" s="8"/>
      <c r="E39" s="8"/>
      <c r="F39" s="8"/>
      <c r="H39" s="50" t="s">
        <v>326</v>
      </c>
      <c r="I39" s="17">
        <v>0</v>
      </c>
      <c r="J39" s="55" t="s">
        <v>327</v>
      </c>
      <c r="K39" s="17">
        <f t="shared" si="0"/>
        <v>0</v>
      </c>
      <c r="L39" s="17">
        <v>0</v>
      </c>
      <c r="M39" s="17"/>
      <c r="N39" s="17" t="s">
        <v>279</v>
      </c>
      <c r="O39" s="16"/>
      <c r="P39" s="44">
        <v>4200</v>
      </c>
      <c r="Q39" s="40">
        <f t="shared" ref="Q39:Q71" si="3">K39*P39</f>
        <v>0</v>
      </c>
    </row>
    <row r="40" spans="1:27" x14ac:dyDescent="0.2">
      <c r="A40" s="8"/>
      <c r="B40" s="8"/>
      <c r="C40" s="8"/>
      <c r="D40" s="8"/>
      <c r="E40" s="8"/>
      <c r="F40" s="8"/>
      <c r="H40" s="50" t="s">
        <v>328</v>
      </c>
      <c r="I40" s="17">
        <v>0</v>
      </c>
      <c r="J40" s="55" t="s">
        <v>447</v>
      </c>
      <c r="K40" s="17">
        <f t="shared" si="0"/>
        <v>0</v>
      </c>
      <c r="L40" s="17">
        <v>0</v>
      </c>
      <c r="M40" s="17"/>
      <c r="N40" s="17" t="s">
        <v>279</v>
      </c>
      <c r="O40" s="16"/>
      <c r="P40" s="44"/>
      <c r="Q40" s="40">
        <f t="shared" si="3"/>
        <v>0</v>
      </c>
    </row>
    <row r="41" spans="1:27" x14ac:dyDescent="0.2">
      <c r="A41" s="8"/>
      <c r="B41" s="8"/>
      <c r="C41" s="8"/>
      <c r="D41" s="8"/>
      <c r="E41" s="8"/>
      <c r="F41" s="8"/>
      <c r="H41" s="50" t="s">
        <v>329</v>
      </c>
      <c r="I41" s="17">
        <v>0</v>
      </c>
      <c r="J41" s="55" t="s">
        <v>330</v>
      </c>
      <c r="K41" s="17">
        <f t="shared" si="0"/>
        <v>0</v>
      </c>
      <c r="L41" s="17">
        <v>0</v>
      </c>
      <c r="M41" s="17"/>
      <c r="N41" s="17" t="s">
        <v>279</v>
      </c>
      <c r="O41" s="16"/>
      <c r="P41" s="44"/>
      <c r="Q41" s="40">
        <f t="shared" si="3"/>
        <v>0</v>
      </c>
    </row>
    <row r="42" spans="1:27" x14ac:dyDescent="0.2">
      <c r="A42" s="8"/>
      <c r="B42" s="8"/>
      <c r="C42" s="8"/>
      <c r="D42" s="8"/>
      <c r="E42" s="8"/>
      <c r="F42" s="8"/>
      <c r="H42" s="50" t="s">
        <v>331</v>
      </c>
      <c r="I42" s="17">
        <v>0</v>
      </c>
      <c r="J42" s="55" t="s">
        <v>332</v>
      </c>
      <c r="K42" s="17">
        <f t="shared" si="0"/>
        <v>0</v>
      </c>
      <c r="L42" s="17">
        <v>0</v>
      </c>
      <c r="M42" s="17"/>
      <c r="N42" s="17" t="s">
        <v>279</v>
      </c>
      <c r="O42" s="16"/>
      <c r="P42" s="44"/>
      <c r="Q42" s="40">
        <f t="shared" si="3"/>
        <v>0</v>
      </c>
    </row>
    <row r="43" spans="1:27" x14ac:dyDescent="0.2">
      <c r="A43" s="8"/>
      <c r="B43" s="8"/>
      <c r="C43" s="8"/>
      <c r="D43" s="8"/>
      <c r="E43" s="8"/>
      <c r="F43" s="8"/>
      <c r="H43" s="50" t="s">
        <v>333</v>
      </c>
      <c r="I43" s="17">
        <v>0</v>
      </c>
      <c r="J43" s="55" t="s">
        <v>334</v>
      </c>
      <c r="K43" s="17">
        <f t="shared" si="0"/>
        <v>0</v>
      </c>
      <c r="L43" s="17">
        <v>0</v>
      </c>
      <c r="M43" s="17"/>
      <c r="N43" s="17" t="s">
        <v>279</v>
      </c>
      <c r="O43" s="16"/>
      <c r="P43" s="44"/>
      <c r="Q43" s="40">
        <f t="shared" si="3"/>
        <v>0</v>
      </c>
    </row>
    <row r="44" spans="1:27" x14ac:dyDescent="0.2">
      <c r="A44" s="8"/>
      <c r="B44" s="8"/>
      <c r="C44" s="8"/>
      <c r="D44" s="8"/>
      <c r="E44" s="8"/>
      <c r="F44" s="8"/>
      <c r="H44" s="50" t="s">
        <v>335</v>
      </c>
      <c r="I44" s="17">
        <v>0</v>
      </c>
      <c r="J44" s="55" t="s">
        <v>353</v>
      </c>
      <c r="K44" s="17">
        <f t="shared" si="0"/>
        <v>0</v>
      </c>
      <c r="L44" s="17">
        <v>0</v>
      </c>
      <c r="M44" s="17"/>
      <c r="N44" s="17" t="s">
        <v>279</v>
      </c>
      <c r="O44" s="16"/>
      <c r="P44" s="44"/>
      <c r="Q44" s="40">
        <f t="shared" si="3"/>
        <v>0</v>
      </c>
    </row>
    <row r="45" spans="1:27" x14ac:dyDescent="0.2">
      <c r="A45" s="8"/>
      <c r="B45" s="8"/>
      <c r="C45" s="8"/>
      <c r="D45" s="8"/>
      <c r="E45" s="8"/>
      <c r="F45" s="8"/>
      <c r="H45" s="50" t="s">
        <v>336</v>
      </c>
      <c r="I45" s="17">
        <v>0</v>
      </c>
      <c r="J45" s="55" t="s">
        <v>354</v>
      </c>
      <c r="K45" s="17">
        <f t="shared" si="0"/>
        <v>0</v>
      </c>
      <c r="L45" s="17">
        <v>0</v>
      </c>
      <c r="M45" s="17"/>
      <c r="N45" s="17" t="s">
        <v>279</v>
      </c>
      <c r="O45" s="16"/>
      <c r="P45" s="44"/>
      <c r="Q45" s="40">
        <f t="shared" si="3"/>
        <v>0</v>
      </c>
    </row>
    <row r="46" spans="1:27" x14ac:dyDescent="0.2">
      <c r="A46" s="8"/>
      <c r="B46" s="8"/>
      <c r="C46" s="8"/>
      <c r="D46" s="8"/>
      <c r="E46" s="8"/>
      <c r="F46" s="8"/>
      <c r="H46" s="50" t="s">
        <v>337</v>
      </c>
      <c r="I46" s="17">
        <v>0</v>
      </c>
      <c r="J46" s="55" t="s">
        <v>355</v>
      </c>
      <c r="K46" s="17">
        <f t="shared" si="0"/>
        <v>0</v>
      </c>
      <c r="L46" s="17">
        <v>0</v>
      </c>
      <c r="M46" s="17"/>
      <c r="N46" s="17" t="s">
        <v>279</v>
      </c>
      <c r="O46" s="16"/>
      <c r="P46" s="44"/>
      <c r="Q46" s="40">
        <f t="shared" si="3"/>
        <v>0</v>
      </c>
    </row>
    <row r="47" spans="1:27" x14ac:dyDescent="0.2">
      <c r="A47" s="8"/>
      <c r="B47" s="8"/>
      <c r="C47" s="8"/>
      <c r="D47" s="8"/>
      <c r="E47" s="8"/>
      <c r="F47" s="8"/>
      <c r="H47" s="50" t="s">
        <v>338</v>
      </c>
      <c r="I47" s="17">
        <v>0</v>
      </c>
      <c r="J47" s="55" t="s">
        <v>356</v>
      </c>
      <c r="K47" s="17">
        <f t="shared" si="0"/>
        <v>0</v>
      </c>
      <c r="L47" s="17">
        <v>0</v>
      </c>
      <c r="M47" s="17"/>
      <c r="N47" s="17" t="s">
        <v>279</v>
      </c>
      <c r="O47" s="16"/>
      <c r="P47" s="44"/>
      <c r="Q47" s="40">
        <f t="shared" si="3"/>
        <v>0</v>
      </c>
    </row>
    <row r="48" spans="1:27" x14ac:dyDescent="0.2">
      <c r="A48" s="8"/>
      <c r="B48" s="8"/>
      <c r="C48" s="8"/>
      <c r="D48" s="8"/>
      <c r="E48" s="8"/>
      <c r="F48" s="8"/>
      <c r="H48" s="50" t="s">
        <v>339</v>
      </c>
      <c r="I48" s="17">
        <v>0</v>
      </c>
      <c r="J48" s="55" t="s">
        <v>357</v>
      </c>
      <c r="K48" s="17">
        <f t="shared" si="0"/>
        <v>0</v>
      </c>
      <c r="L48" s="17">
        <v>0</v>
      </c>
      <c r="M48" s="17"/>
      <c r="N48" s="17" t="s">
        <v>279</v>
      </c>
      <c r="O48" s="16"/>
      <c r="P48" s="44"/>
      <c r="Q48" s="40">
        <f t="shared" si="3"/>
        <v>0</v>
      </c>
    </row>
    <row r="49" spans="1:17" x14ac:dyDescent="0.2">
      <c r="A49" s="8"/>
      <c r="B49" s="8"/>
      <c r="C49" s="8"/>
      <c r="D49" s="8"/>
      <c r="E49" s="8"/>
      <c r="F49" s="8"/>
      <c r="H49" s="50" t="s">
        <v>340</v>
      </c>
      <c r="I49" s="17">
        <v>0</v>
      </c>
      <c r="J49" s="55" t="s">
        <v>358</v>
      </c>
      <c r="K49" s="17">
        <f t="shared" si="0"/>
        <v>0</v>
      </c>
      <c r="L49" s="17">
        <v>0</v>
      </c>
      <c r="M49" s="17"/>
      <c r="N49" s="17" t="s">
        <v>279</v>
      </c>
      <c r="O49" s="16"/>
      <c r="P49" s="44"/>
      <c r="Q49" s="40">
        <f t="shared" si="3"/>
        <v>0</v>
      </c>
    </row>
    <row r="50" spans="1:17" x14ac:dyDescent="0.2">
      <c r="A50" s="8"/>
      <c r="B50" s="8"/>
      <c r="C50" s="8"/>
      <c r="D50" s="8"/>
      <c r="E50" s="8"/>
      <c r="F50" s="8"/>
      <c r="H50" s="50" t="s">
        <v>341</v>
      </c>
      <c r="I50" s="17">
        <v>0</v>
      </c>
      <c r="J50" s="55" t="s">
        <v>448</v>
      </c>
      <c r="K50" s="17">
        <f t="shared" si="0"/>
        <v>0</v>
      </c>
      <c r="L50" s="17">
        <v>0</v>
      </c>
      <c r="M50" s="17"/>
      <c r="N50" s="17" t="s">
        <v>279</v>
      </c>
      <c r="O50" s="16"/>
      <c r="P50" s="44"/>
      <c r="Q50" s="40">
        <f t="shared" si="3"/>
        <v>0</v>
      </c>
    </row>
    <row r="51" spans="1:17" x14ac:dyDescent="0.2">
      <c r="A51" s="8"/>
      <c r="B51" s="8"/>
      <c r="C51" s="8"/>
      <c r="D51" s="8"/>
      <c r="E51" s="8"/>
      <c r="F51" s="8"/>
      <c r="H51" s="50" t="s">
        <v>342</v>
      </c>
      <c r="I51" s="17">
        <v>0</v>
      </c>
      <c r="J51" s="55" t="s">
        <v>359</v>
      </c>
      <c r="K51" s="17">
        <f t="shared" si="0"/>
        <v>0</v>
      </c>
      <c r="L51" s="17">
        <v>0</v>
      </c>
      <c r="M51" s="17"/>
      <c r="N51" s="17" t="s">
        <v>279</v>
      </c>
      <c r="O51" s="16"/>
      <c r="P51" s="44">
        <v>3900</v>
      </c>
      <c r="Q51" s="40">
        <f t="shared" si="3"/>
        <v>0</v>
      </c>
    </row>
    <row r="52" spans="1:17" x14ac:dyDescent="0.2">
      <c r="A52" s="8"/>
      <c r="B52" s="8"/>
      <c r="C52" s="8"/>
      <c r="D52" s="8"/>
      <c r="E52" s="8"/>
      <c r="F52" s="8"/>
      <c r="H52" s="50" t="s">
        <v>343</v>
      </c>
      <c r="I52" s="17">
        <v>0</v>
      </c>
      <c r="J52" s="55" t="s">
        <v>360</v>
      </c>
      <c r="K52" s="17">
        <f t="shared" si="0"/>
        <v>0</v>
      </c>
      <c r="L52" s="17">
        <v>0</v>
      </c>
      <c r="M52" s="17"/>
      <c r="N52" s="17" t="s">
        <v>279</v>
      </c>
      <c r="O52" s="16"/>
      <c r="P52" s="44">
        <v>3900</v>
      </c>
      <c r="Q52" s="40">
        <f t="shared" si="3"/>
        <v>0</v>
      </c>
    </row>
    <row r="53" spans="1:17" x14ac:dyDescent="0.2">
      <c r="A53" s="8"/>
      <c r="B53" s="8"/>
      <c r="C53" s="8"/>
      <c r="D53" s="8"/>
      <c r="E53" s="8"/>
      <c r="F53" s="8"/>
      <c r="H53" s="50" t="s">
        <v>344</v>
      </c>
      <c r="I53" s="17">
        <v>0</v>
      </c>
      <c r="J53" s="55" t="s">
        <v>361</v>
      </c>
      <c r="K53" s="17">
        <f t="shared" si="0"/>
        <v>0</v>
      </c>
      <c r="L53" s="17">
        <v>0</v>
      </c>
      <c r="M53" s="17"/>
      <c r="N53" s="17" t="s">
        <v>279</v>
      </c>
      <c r="O53" s="16"/>
      <c r="P53" s="44"/>
      <c r="Q53" s="40">
        <f t="shared" si="3"/>
        <v>0</v>
      </c>
    </row>
    <row r="54" spans="1:17" x14ac:dyDescent="0.2">
      <c r="A54" s="8"/>
      <c r="B54" s="8"/>
      <c r="C54" s="8"/>
      <c r="D54" s="8"/>
      <c r="E54" s="8"/>
      <c r="F54" s="8"/>
      <c r="H54" s="50" t="s">
        <v>345</v>
      </c>
      <c r="I54" s="17">
        <v>0</v>
      </c>
      <c r="J54" s="55" t="s">
        <v>362</v>
      </c>
      <c r="K54" s="17">
        <f t="shared" si="0"/>
        <v>0</v>
      </c>
      <c r="L54" s="17">
        <v>0</v>
      </c>
      <c r="M54" s="17"/>
      <c r="N54" s="17" t="s">
        <v>279</v>
      </c>
      <c r="O54" s="16"/>
      <c r="P54" s="44"/>
      <c r="Q54" s="40">
        <f t="shared" si="3"/>
        <v>0</v>
      </c>
    </row>
    <row r="55" spans="1:17" x14ac:dyDescent="0.2">
      <c r="A55" s="8"/>
      <c r="B55" s="8"/>
      <c r="C55" s="8"/>
      <c r="D55" s="8"/>
      <c r="E55" s="8"/>
      <c r="F55" s="8"/>
      <c r="H55" s="50" t="s">
        <v>346</v>
      </c>
      <c r="I55" s="17">
        <v>0</v>
      </c>
      <c r="J55" s="55" t="s">
        <v>363</v>
      </c>
      <c r="K55" s="17">
        <f t="shared" si="0"/>
        <v>0</v>
      </c>
      <c r="L55" s="17">
        <v>0</v>
      </c>
      <c r="M55" s="17"/>
      <c r="N55" s="17" t="s">
        <v>279</v>
      </c>
      <c r="O55" s="16"/>
      <c r="P55" s="44">
        <v>4200</v>
      </c>
      <c r="Q55" s="40">
        <f t="shared" si="3"/>
        <v>0</v>
      </c>
    </row>
    <row r="56" spans="1:17" x14ac:dyDescent="0.2">
      <c r="A56" s="8"/>
      <c r="B56" s="8"/>
      <c r="C56" s="8"/>
      <c r="D56" s="8"/>
      <c r="E56" s="8"/>
      <c r="F56" s="8"/>
      <c r="H56" s="50" t="s">
        <v>347</v>
      </c>
      <c r="I56" s="17">
        <v>0</v>
      </c>
      <c r="J56" s="55" t="s">
        <v>364</v>
      </c>
      <c r="K56" s="17">
        <f t="shared" si="0"/>
        <v>0</v>
      </c>
      <c r="L56" s="17">
        <v>0</v>
      </c>
      <c r="M56" s="17"/>
      <c r="N56" s="17" t="s">
        <v>279</v>
      </c>
      <c r="O56" s="16"/>
      <c r="P56" s="44"/>
      <c r="Q56" s="40">
        <f t="shared" si="3"/>
        <v>0</v>
      </c>
    </row>
    <row r="57" spans="1:17" x14ac:dyDescent="0.2">
      <c r="A57" s="8"/>
      <c r="B57" s="8"/>
      <c r="C57" s="8"/>
      <c r="D57" s="8"/>
      <c r="E57" s="8"/>
      <c r="F57" s="8"/>
      <c r="H57" s="50" t="s">
        <v>348</v>
      </c>
      <c r="I57" s="17">
        <v>0</v>
      </c>
      <c r="J57" s="55" t="s">
        <v>365</v>
      </c>
      <c r="K57" s="17">
        <f t="shared" si="0"/>
        <v>0</v>
      </c>
      <c r="L57" s="17">
        <v>0</v>
      </c>
      <c r="M57" s="17"/>
      <c r="N57" s="17" t="s">
        <v>279</v>
      </c>
      <c r="O57" s="16"/>
      <c r="P57" s="44"/>
      <c r="Q57" s="40">
        <f t="shared" si="3"/>
        <v>0</v>
      </c>
    </row>
    <row r="58" spans="1:17" x14ac:dyDescent="0.2">
      <c r="A58" s="8"/>
      <c r="B58" s="8"/>
      <c r="C58" s="8"/>
      <c r="D58" s="8"/>
      <c r="E58" s="8"/>
      <c r="F58" s="8"/>
      <c r="H58" s="50" t="s">
        <v>349</v>
      </c>
      <c r="I58" s="17">
        <v>0</v>
      </c>
      <c r="J58" s="55" t="s">
        <v>366</v>
      </c>
      <c r="K58" s="17">
        <f t="shared" si="0"/>
        <v>0</v>
      </c>
      <c r="L58" s="17">
        <v>0</v>
      </c>
      <c r="M58" s="17"/>
      <c r="N58" s="17" t="s">
        <v>279</v>
      </c>
      <c r="O58" s="16"/>
      <c r="P58" s="44"/>
      <c r="Q58" s="40">
        <f t="shared" si="3"/>
        <v>0</v>
      </c>
    </row>
    <row r="59" spans="1:17" x14ac:dyDescent="0.2">
      <c r="A59" s="8"/>
      <c r="B59" s="8"/>
      <c r="C59" s="8"/>
      <c r="D59" s="8"/>
      <c r="E59" s="8"/>
      <c r="F59" s="8"/>
      <c r="H59" s="50" t="s">
        <v>350</v>
      </c>
      <c r="I59" s="17">
        <v>0</v>
      </c>
      <c r="J59" s="55" t="s">
        <v>367</v>
      </c>
      <c r="K59" s="17">
        <f t="shared" si="0"/>
        <v>0</v>
      </c>
      <c r="L59" s="17">
        <v>0</v>
      </c>
      <c r="M59" s="17"/>
      <c r="N59" s="17" t="s">
        <v>279</v>
      </c>
      <c r="O59" s="16"/>
      <c r="P59" s="44"/>
      <c r="Q59" s="40">
        <f t="shared" si="3"/>
        <v>0</v>
      </c>
    </row>
    <row r="60" spans="1:17" x14ac:dyDescent="0.2">
      <c r="A60" s="8"/>
      <c r="B60" s="8"/>
      <c r="C60" s="8"/>
      <c r="D60" s="8"/>
      <c r="E60" s="8"/>
      <c r="F60" s="8"/>
      <c r="H60" s="50" t="s">
        <v>351</v>
      </c>
      <c r="I60" s="17">
        <v>0</v>
      </c>
      <c r="J60" s="55" t="s">
        <v>368</v>
      </c>
      <c r="K60" s="17">
        <f t="shared" si="0"/>
        <v>0</v>
      </c>
      <c r="L60" s="17">
        <v>0</v>
      </c>
      <c r="M60" s="17"/>
      <c r="N60" s="17" t="s">
        <v>279</v>
      </c>
      <c r="O60" s="16"/>
      <c r="P60" s="44"/>
      <c r="Q60" s="40">
        <f t="shared" si="3"/>
        <v>0</v>
      </c>
    </row>
    <row r="61" spans="1:17" x14ac:dyDescent="0.2">
      <c r="A61" s="8"/>
      <c r="B61" s="8"/>
      <c r="C61" s="8"/>
      <c r="D61" s="8"/>
      <c r="E61" s="8"/>
      <c r="F61" s="8"/>
      <c r="H61" s="50" t="s">
        <v>352</v>
      </c>
      <c r="I61" s="17">
        <v>0</v>
      </c>
      <c r="J61" s="55" t="s">
        <v>446</v>
      </c>
      <c r="K61" s="17">
        <f t="shared" si="0"/>
        <v>0</v>
      </c>
      <c r="L61" s="17">
        <v>0</v>
      </c>
      <c r="M61" s="17"/>
      <c r="N61" s="17" t="s">
        <v>279</v>
      </c>
      <c r="O61" s="16"/>
      <c r="P61" s="44"/>
      <c r="Q61" s="40">
        <f t="shared" si="3"/>
        <v>0</v>
      </c>
    </row>
    <row r="62" spans="1:17" x14ac:dyDescent="0.2">
      <c r="A62" s="8"/>
      <c r="B62" s="8"/>
      <c r="C62" s="8"/>
      <c r="D62" s="8"/>
      <c r="E62" s="8"/>
      <c r="F62" s="8"/>
      <c r="H62" s="50" t="s">
        <v>369</v>
      </c>
      <c r="I62" s="17">
        <v>0</v>
      </c>
      <c r="J62" s="55" t="s">
        <v>370</v>
      </c>
      <c r="K62" s="17">
        <f t="shared" si="0"/>
        <v>0</v>
      </c>
      <c r="L62" s="17">
        <v>0</v>
      </c>
      <c r="M62" s="17"/>
      <c r="N62" s="17" t="s">
        <v>279</v>
      </c>
      <c r="O62" s="16"/>
      <c r="P62" s="44"/>
      <c r="Q62" s="40">
        <f t="shared" si="3"/>
        <v>0</v>
      </c>
    </row>
    <row r="63" spans="1:17" x14ac:dyDescent="0.2">
      <c r="A63" s="8"/>
      <c r="B63" s="8"/>
      <c r="C63" s="8"/>
      <c r="D63" s="8"/>
      <c r="E63" s="8"/>
      <c r="F63" s="8"/>
      <c r="H63" s="50" t="s">
        <v>371</v>
      </c>
      <c r="I63" s="17">
        <v>0</v>
      </c>
      <c r="J63" s="55" t="s">
        <v>372</v>
      </c>
      <c r="K63" s="17">
        <f t="shared" si="0"/>
        <v>0</v>
      </c>
      <c r="L63" s="17">
        <v>0</v>
      </c>
      <c r="M63" s="17"/>
      <c r="N63" s="17" t="s">
        <v>279</v>
      </c>
      <c r="O63" s="16"/>
      <c r="P63" s="44"/>
      <c r="Q63" s="40">
        <f t="shared" si="3"/>
        <v>0</v>
      </c>
    </row>
    <row r="64" spans="1:17" x14ac:dyDescent="0.2">
      <c r="A64" s="8"/>
      <c r="B64" s="8"/>
      <c r="C64" s="8"/>
      <c r="D64" s="8"/>
      <c r="E64" s="8"/>
      <c r="F64" s="8"/>
      <c r="H64" s="50" t="s">
        <v>373</v>
      </c>
      <c r="I64" s="17">
        <v>0</v>
      </c>
      <c r="J64" s="55" t="s">
        <v>374</v>
      </c>
      <c r="K64" s="17">
        <f t="shared" si="0"/>
        <v>0</v>
      </c>
      <c r="L64" s="17">
        <v>0</v>
      </c>
      <c r="M64" s="17"/>
      <c r="N64" s="17" t="s">
        <v>279</v>
      </c>
      <c r="O64" s="16"/>
      <c r="P64" s="44"/>
      <c r="Q64" s="40">
        <f t="shared" si="3"/>
        <v>0</v>
      </c>
    </row>
    <row r="65" spans="1:17" x14ac:dyDescent="0.2">
      <c r="A65" s="8"/>
      <c r="B65" s="8"/>
      <c r="C65" s="8"/>
      <c r="D65" s="8"/>
      <c r="E65" s="8"/>
      <c r="F65" s="8"/>
      <c r="H65" s="50" t="s">
        <v>375</v>
      </c>
      <c r="I65" s="17">
        <v>0</v>
      </c>
      <c r="J65" s="55" t="s">
        <v>376</v>
      </c>
      <c r="K65" s="17">
        <f t="shared" si="0"/>
        <v>0</v>
      </c>
      <c r="L65" s="17">
        <v>0</v>
      </c>
      <c r="M65" s="17"/>
      <c r="N65" s="17" t="s">
        <v>279</v>
      </c>
      <c r="O65" s="16"/>
      <c r="P65" s="44"/>
      <c r="Q65" s="40">
        <f t="shared" si="3"/>
        <v>0</v>
      </c>
    </row>
    <row r="66" spans="1:17" x14ac:dyDescent="0.2">
      <c r="A66" s="8"/>
      <c r="B66" s="8"/>
      <c r="C66" s="8"/>
      <c r="D66" s="8"/>
      <c r="E66" s="8"/>
      <c r="F66" s="8"/>
      <c r="H66" s="50" t="s">
        <v>377</v>
      </c>
      <c r="I66" s="17">
        <v>0</v>
      </c>
      <c r="J66" s="55" t="s">
        <v>378</v>
      </c>
      <c r="K66" s="17">
        <f t="shared" si="0"/>
        <v>0</v>
      </c>
      <c r="L66" s="17">
        <v>0</v>
      </c>
      <c r="M66" s="17"/>
      <c r="N66" s="17" t="s">
        <v>279</v>
      </c>
      <c r="O66" s="16"/>
      <c r="P66" s="44"/>
      <c r="Q66" s="40">
        <f t="shared" si="3"/>
        <v>0</v>
      </c>
    </row>
    <row r="67" spans="1:17" x14ac:dyDescent="0.2">
      <c r="A67" s="8"/>
      <c r="B67" s="8"/>
      <c r="C67" s="8"/>
      <c r="D67" s="8"/>
      <c r="E67" s="8"/>
      <c r="F67" s="8"/>
      <c r="H67" s="50" t="s">
        <v>379</v>
      </c>
      <c r="I67" s="17">
        <v>0</v>
      </c>
      <c r="J67" s="55" t="s">
        <v>380</v>
      </c>
      <c r="K67" s="17">
        <f t="shared" si="0"/>
        <v>0</v>
      </c>
      <c r="L67" s="17">
        <v>0</v>
      </c>
      <c r="M67" s="17"/>
      <c r="N67" s="17" t="s">
        <v>279</v>
      </c>
      <c r="O67" s="16"/>
      <c r="P67" s="44"/>
      <c r="Q67" s="40">
        <f t="shared" si="3"/>
        <v>0</v>
      </c>
    </row>
    <row r="68" spans="1:17" x14ac:dyDescent="0.2">
      <c r="A68" s="8"/>
      <c r="B68" s="8"/>
      <c r="C68" s="8"/>
      <c r="D68" s="8"/>
      <c r="E68" s="8"/>
      <c r="F68" s="8"/>
      <c r="H68" s="50" t="s">
        <v>381</v>
      </c>
      <c r="I68" s="17">
        <v>0</v>
      </c>
      <c r="J68" s="55" t="s">
        <v>382</v>
      </c>
      <c r="K68" s="17">
        <f t="shared" si="0"/>
        <v>0</v>
      </c>
      <c r="L68" s="17">
        <v>0</v>
      </c>
      <c r="M68" s="17"/>
      <c r="N68" s="17" t="s">
        <v>279</v>
      </c>
      <c r="O68" s="16"/>
      <c r="P68" s="44"/>
      <c r="Q68" s="40">
        <f t="shared" si="3"/>
        <v>0</v>
      </c>
    </row>
    <row r="69" spans="1:17" x14ac:dyDescent="0.2">
      <c r="A69" s="8"/>
      <c r="B69" s="8"/>
      <c r="C69" s="8"/>
      <c r="D69" s="8"/>
      <c r="E69" s="8"/>
      <c r="F69" s="8"/>
      <c r="H69" s="50" t="s">
        <v>383</v>
      </c>
      <c r="I69" s="17">
        <v>0</v>
      </c>
      <c r="J69" s="55" t="s">
        <v>384</v>
      </c>
      <c r="K69" s="17">
        <f t="shared" si="0"/>
        <v>0</v>
      </c>
      <c r="L69" s="17">
        <v>0</v>
      </c>
      <c r="M69" s="17"/>
      <c r="N69" s="17" t="s">
        <v>279</v>
      </c>
      <c r="O69" s="16"/>
      <c r="P69" s="44"/>
      <c r="Q69" s="40">
        <f t="shared" si="3"/>
        <v>0</v>
      </c>
    </row>
    <row r="70" spans="1:17" x14ac:dyDescent="0.2">
      <c r="A70" s="8"/>
      <c r="B70" s="8"/>
      <c r="C70" s="8"/>
      <c r="D70" s="8"/>
      <c r="E70" s="8"/>
      <c r="F70" s="8"/>
      <c r="H70" s="50" t="s">
        <v>385</v>
      </c>
      <c r="I70" s="17">
        <v>0</v>
      </c>
      <c r="J70" s="55" t="s">
        <v>386</v>
      </c>
      <c r="K70" s="17">
        <f t="shared" ref="K70" si="4">I70+SUMIF($B$5:$B$71,J70,$C$5:$C$71)-SUMIF($E$5:$E$71,J70,$F$5:$F$71)</f>
        <v>0</v>
      </c>
      <c r="L70" s="17">
        <v>0</v>
      </c>
      <c r="M70" s="17"/>
      <c r="N70" s="17" t="s">
        <v>279</v>
      </c>
      <c r="O70" s="16"/>
      <c r="P70" s="44"/>
      <c r="Q70" s="40"/>
    </row>
    <row r="71" spans="1:17" x14ac:dyDescent="0.2">
      <c r="A71" s="8"/>
      <c r="B71" s="8"/>
      <c r="C71" s="8"/>
      <c r="D71" s="8"/>
      <c r="E71" s="8"/>
      <c r="F71" s="8"/>
      <c r="H71" s="50" t="s">
        <v>615</v>
      </c>
      <c r="I71" s="17">
        <v>0</v>
      </c>
      <c r="J71" s="55" t="s">
        <v>616</v>
      </c>
      <c r="K71" s="17">
        <f t="shared" ref="K71" si="5">I71+SUMIF($B$5:$B$71,J71,$C$5:$C$71)-SUMIF($E$5:$E$71,J71,$F$5:$F$71)</f>
        <v>0</v>
      </c>
      <c r="L71" s="17">
        <v>0</v>
      </c>
      <c r="M71" s="17"/>
      <c r="N71" s="17" t="s">
        <v>279</v>
      </c>
      <c r="O71" s="16"/>
      <c r="P71" s="44">
        <v>4100</v>
      </c>
      <c r="Q71" s="40">
        <f t="shared" si="3"/>
        <v>0</v>
      </c>
    </row>
    <row r="72" spans="1:17" x14ac:dyDescent="0.2">
      <c r="D72" s="8"/>
      <c r="E72" s="8"/>
      <c r="Q72" s="54">
        <f>SUM(Q5:Q71)</f>
        <v>10000</v>
      </c>
    </row>
    <row r="73" spans="1:17" x14ac:dyDescent="0.2">
      <c r="D73" s="8"/>
      <c r="E73" s="8"/>
    </row>
    <row r="74" spans="1:17" x14ac:dyDescent="0.2">
      <c r="D74" s="8"/>
      <c r="E74" s="8"/>
    </row>
  </sheetData>
  <autoFilter ref="K1:K74" xr:uid="{B6A566E8-D3D7-FB4D-8597-2B3DA64A7FF3}"/>
  <mergeCells count="12">
    <mergeCell ref="P3:P4"/>
    <mergeCell ref="Q3:Q4"/>
    <mergeCell ref="A1:R1"/>
    <mergeCell ref="A3:C3"/>
    <mergeCell ref="D3:F3"/>
    <mergeCell ref="H3:H4"/>
    <mergeCell ref="I3:I4"/>
    <mergeCell ref="J3:K3"/>
    <mergeCell ref="L3:L4"/>
    <mergeCell ref="M3:M4"/>
    <mergeCell ref="N3:N4"/>
    <mergeCell ref="O3:O4"/>
  </mergeCells>
  <phoneticPr fontId="3" type="noConversion"/>
  <conditionalFormatting sqref="M5:N71 R19:R36 P33 P38:P71">
    <cfRule type="containsText" dxfId="9" priority="4" operator="containsText" text="Place Order">
      <formula>NOT(ISERROR(SEARCH("Place Order",M5)))</formula>
    </cfRule>
  </conditionalFormatting>
  <conditionalFormatting sqref="O5:O26 O28:O71">
    <cfRule type="expression" dxfId="8" priority="1" stopIfTrue="1">
      <formula>$O5&gt;TODAY()+90</formula>
    </cfRule>
    <cfRule type="expression" dxfId="7" priority="2" stopIfTrue="1">
      <formula>$O5&lt;TODAY()</formula>
    </cfRule>
    <cfRule type="expression" dxfId="6" priority="3" stopIfTrue="1">
      <formula>OR($O5&gt;=TODAY(),$O5&lt;=TODAY()+90)</formula>
    </cfRule>
  </conditionalFormatting>
  <dataValidations count="1">
    <dataValidation type="list" allowBlank="1" showInputMessage="1" showErrorMessage="1" sqref="E5:E71 B5:B71" xr:uid="{709FFE9B-06ED-A043-A390-EDBDB9A334B3}">
      <formula1>$J$5:$J$71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C521-EB87-7844-BA46-E5C97BEBACD4}">
  <dimension ref="A1:Y72"/>
  <sheetViews>
    <sheetView zoomScale="130" zoomScaleNormal="130" workbookViewId="0">
      <pane ySplit="4" topLeftCell="A5" activePane="bottomLeft" state="frozen"/>
      <selection pane="bottomLeft" activeCell="D7" sqref="D7"/>
    </sheetView>
  </sheetViews>
  <sheetFormatPr baseColWidth="10" defaultColWidth="9.1640625" defaultRowHeight="14" x14ac:dyDescent="0.2"/>
  <cols>
    <col min="1" max="1" width="10" style="1" customWidth="1"/>
    <col min="2" max="2" width="18.5" style="1" bestFit="1" customWidth="1"/>
    <col min="3" max="3" width="8.5" style="1" bestFit="1" customWidth="1"/>
    <col min="4" max="4" width="10.1640625" style="1" bestFit="1" customWidth="1"/>
    <col min="5" max="5" width="20.6640625" style="1" bestFit="1" customWidth="1"/>
    <col min="6" max="6" width="8.83203125" style="1" customWidth="1"/>
    <col min="7" max="7" width="3.5" style="1" customWidth="1"/>
    <col min="8" max="8" width="16.33203125" style="1" bestFit="1" customWidth="1"/>
    <col min="9" max="9" width="9.5" style="1" customWidth="1"/>
    <col min="10" max="10" width="20.6640625" style="1" bestFit="1" customWidth="1"/>
    <col min="11" max="11" width="9.33203125" style="1" bestFit="1" customWidth="1"/>
    <col min="12" max="12" width="10.5" style="1" customWidth="1"/>
    <col min="13" max="13" width="12.33203125" style="1" customWidth="1"/>
    <col min="14" max="14" width="5.83203125" style="1" customWidth="1"/>
    <col min="15" max="15" width="10.33203125" style="1" bestFit="1" customWidth="1"/>
    <col min="16" max="16" width="10.33203125" style="1" customWidth="1"/>
    <col min="17" max="17" width="13" style="1" bestFit="1" customWidth="1"/>
    <col min="18" max="18" width="22.5" style="1" bestFit="1" customWidth="1"/>
    <col min="19" max="19" width="10.5" style="1" bestFit="1" customWidth="1"/>
    <col min="20" max="21" width="9.33203125" style="1" bestFit="1" customWidth="1"/>
    <col min="22" max="24" width="9.1640625" style="1"/>
    <col min="25" max="25" width="11.1640625" style="1" bestFit="1" customWidth="1"/>
    <col min="26" max="16384" width="9.1640625" style="1"/>
  </cols>
  <sheetData>
    <row r="1" spans="1:25" ht="20" x14ac:dyDescent="0.2">
      <c r="A1" s="99" t="s">
        <v>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" t="s">
        <v>15</v>
      </c>
      <c r="T1" s="5" t="s">
        <v>11</v>
      </c>
      <c r="U1" s="5" t="s">
        <v>11</v>
      </c>
      <c r="V1" s="5"/>
      <c r="W1" s="5"/>
      <c r="X1" s="5"/>
    </row>
    <row r="2" spans="1:25" x14ac:dyDescent="0.2">
      <c r="A2" s="10" t="s">
        <v>647</v>
      </c>
      <c r="B2" s="8"/>
      <c r="C2" s="8" t="s">
        <v>157</v>
      </c>
      <c r="D2" s="19">
        <f ca="1">TODAY()</f>
        <v>45828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5" ht="25" customHeight="1" x14ac:dyDescent="0.2">
      <c r="A3" s="79" t="s">
        <v>8</v>
      </c>
      <c r="B3" s="79"/>
      <c r="C3" s="79"/>
      <c r="D3" s="80" t="s">
        <v>9</v>
      </c>
      <c r="E3" s="80"/>
      <c r="F3" s="80"/>
      <c r="G3" s="13"/>
      <c r="H3" s="81" t="s">
        <v>21</v>
      </c>
      <c r="I3" s="83" t="s">
        <v>12</v>
      </c>
      <c r="J3" s="85" t="s">
        <v>10</v>
      </c>
      <c r="K3" s="85"/>
      <c r="L3" s="83" t="s">
        <v>13</v>
      </c>
      <c r="M3" s="86" t="s">
        <v>3</v>
      </c>
      <c r="N3" s="77" t="s">
        <v>32</v>
      </c>
      <c r="O3" s="77" t="s">
        <v>42</v>
      </c>
      <c r="P3" s="77" t="s">
        <v>253</v>
      </c>
      <c r="Q3" s="77" t="s">
        <v>254</v>
      </c>
      <c r="R3" s="8"/>
      <c r="S3" s="10" t="s">
        <v>14</v>
      </c>
      <c r="T3" s="8"/>
      <c r="U3" s="8"/>
      <c r="V3" s="8"/>
      <c r="W3" s="8"/>
    </row>
    <row r="4" spans="1:25" ht="25" customHeight="1" x14ac:dyDescent="0.2">
      <c r="A4" s="11" t="s">
        <v>0</v>
      </c>
      <c r="B4" s="11" t="s">
        <v>2</v>
      </c>
      <c r="C4" s="11" t="s">
        <v>1</v>
      </c>
      <c r="D4" s="12" t="s">
        <v>0</v>
      </c>
      <c r="E4" s="12" t="s">
        <v>2</v>
      </c>
      <c r="F4" s="12" t="s">
        <v>1</v>
      </c>
      <c r="G4" s="13"/>
      <c r="H4" s="82"/>
      <c r="I4" s="84"/>
      <c r="J4" s="14" t="s">
        <v>2</v>
      </c>
      <c r="K4" s="14" t="s">
        <v>1</v>
      </c>
      <c r="L4" s="84"/>
      <c r="M4" s="87"/>
      <c r="N4" s="77"/>
      <c r="O4" s="77"/>
      <c r="P4" s="77"/>
      <c r="Q4" s="77"/>
      <c r="R4" s="8" t="s">
        <v>71</v>
      </c>
      <c r="S4" s="8"/>
      <c r="T4" s="15">
        <v>44080</v>
      </c>
      <c r="U4" s="15">
        <v>44092</v>
      </c>
      <c r="V4" s="15"/>
      <c r="W4" s="15"/>
      <c r="X4" s="15"/>
      <c r="Y4" s="15" t="s">
        <v>6</v>
      </c>
    </row>
    <row r="5" spans="1:25" x14ac:dyDescent="0.2">
      <c r="A5" s="16">
        <v>45689</v>
      </c>
      <c r="B5" s="17" t="s">
        <v>569</v>
      </c>
      <c r="C5" s="17"/>
      <c r="D5" s="16">
        <v>45719</v>
      </c>
      <c r="E5" s="17" t="s">
        <v>571</v>
      </c>
      <c r="F5" s="17">
        <v>21.1</v>
      </c>
      <c r="G5" s="17"/>
      <c r="H5" s="17" t="s">
        <v>399</v>
      </c>
      <c r="I5" s="17">
        <v>150</v>
      </c>
      <c r="J5" s="17" t="s">
        <v>400</v>
      </c>
      <c r="K5" s="17">
        <f>I5+SUMIF($B$5:$B$37,J5,$C$5:$C$37)-SUMIF($E$5:$E$37,J5,$F$5:$F$37)</f>
        <v>150</v>
      </c>
      <c r="L5" s="17">
        <v>50</v>
      </c>
      <c r="M5" s="17" t="str">
        <f>IF((K5+Y5)&lt;L5,"Place Order","")</f>
        <v/>
      </c>
      <c r="N5" s="17" t="s">
        <v>35</v>
      </c>
      <c r="O5" s="16"/>
      <c r="P5" s="44">
        <v>26.2</v>
      </c>
      <c r="Q5" s="40">
        <f>K5*P5</f>
        <v>3930</v>
      </c>
      <c r="R5" s="34" t="s">
        <v>72</v>
      </c>
      <c r="S5" s="8"/>
      <c r="T5" s="17"/>
      <c r="U5" s="17"/>
      <c r="V5" s="17"/>
      <c r="W5" s="17"/>
      <c r="X5" s="17"/>
      <c r="Y5" s="17">
        <f>SUMIF($T$1:$X$1,"T",T5:X5)</f>
        <v>0</v>
      </c>
    </row>
    <row r="6" spans="1:25" x14ac:dyDescent="0.2">
      <c r="A6" s="16"/>
      <c r="B6" s="17"/>
      <c r="C6" s="17"/>
      <c r="D6" s="16">
        <v>45721</v>
      </c>
      <c r="E6" s="17"/>
      <c r="F6" s="17"/>
      <c r="G6" s="17"/>
      <c r="H6" s="17" t="s">
        <v>401</v>
      </c>
      <c r="I6" s="17">
        <v>0</v>
      </c>
      <c r="J6" s="17"/>
      <c r="K6" s="17">
        <f t="shared" ref="K6:K35" si="0">I6+SUMIF($B$5:$B$37,J6,$C$5:$C$37)-SUMIF($E$5:$E$37,J6,$F$5:$F$37)</f>
        <v>0</v>
      </c>
      <c r="L6" s="17">
        <v>50</v>
      </c>
      <c r="M6" s="17" t="str">
        <f>IF((K6+Y14)&lt;L6,"Place Order","")</f>
        <v>Place Order</v>
      </c>
      <c r="N6" s="17" t="s">
        <v>35</v>
      </c>
      <c r="O6" s="16"/>
      <c r="P6" s="44">
        <v>26</v>
      </c>
      <c r="Q6" s="40">
        <f t="shared" ref="Q6:Q70" si="1">K6*P6</f>
        <v>0</v>
      </c>
      <c r="R6" s="35" t="s">
        <v>73</v>
      </c>
      <c r="S6" s="8"/>
      <c r="T6" s="17"/>
      <c r="U6" s="17"/>
      <c r="V6" s="17"/>
      <c r="W6" s="17"/>
      <c r="X6" s="17"/>
      <c r="Y6" s="17"/>
    </row>
    <row r="7" spans="1:25" x14ac:dyDescent="0.2">
      <c r="A7" s="16"/>
      <c r="B7" s="17"/>
      <c r="C7" s="17"/>
      <c r="D7" s="16">
        <v>45721</v>
      </c>
      <c r="E7" s="17"/>
      <c r="F7" s="17"/>
      <c r="G7" s="17"/>
      <c r="H7" s="17" t="s">
        <v>542</v>
      </c>
      <c r="I7" s="17">
        <v>370</v>
      </c>
      <c r="J7" s="17" t="s">
        <v>541</v>
      </c>
      <c r="K7" s="17">
        <f t="shared" si="0"/>
        <v>370</v>
      </c>
      <c r="L7" s="17">
        <v>50</v>
      </c>
      <c r="M7" s="17" t="str">
        <f>IF((K7+Y15)&lt;L7,"Place Order","")</f>
        <v/>
      </c>
      <c r="N7" s="17" t="s">
        <v>35</v>
      </c>
      <c r="O7" s="46"/>
      <c r="P7" s="44">
        <v>9.7200000000000006</v>
      </c>
      <c r="Q7" s="40">
        <f t="shared" si="1"/>
        <v>3596.4</v>
      </c>
      <c r="R7" s="36" t="s">
        <v>74</v>
      </c>
      <c r="S7" s="8"/>
      <c r="T7" s="17"/>
      <c r="U7" s="17"/>
      <c r="V7" s="17"/>
      <c r="W7" s="17"/>
      <c r="X7" s="17"/>
      <c r="Y7" s="17"/>
    </row>
    <row r="8" spans="1:25" x14ac:dyDescent="0.2">
      <c r="A8" s="16"/>
      <c r="B8" s="17"/>
      <c r="C8" s="17"/>
      <c r="D8" s="16"/>
      <c r="E8" s="17"/>
      <c r="F8" s="17"/>
      <c r="G8" s="17"/>
      <c r="H8" s="17" t="s">
        <v>543</v>
      </c>
      <c r="I8" s="17">
        <v>100</v>
      </c>
      <c r="J8" s="17" t="s">
        <v>544</v>
      </c>
      <c r="K8" s="17">
        <f t="shared" si="0"/>
        <v>100</v>
      </c>
      <c r="L8" s="17">
        <v>50</v>
      </c>
      <c r="M8" s="17" t="str">
        <f>IF((K8+Y10)&lt;L8,"Place Order","")</f>
        <v/>
      </c>
      <c r="N8" s="17" t="s">
        <v>35</v>
      </c>
      <c r="O8" s="16"/>
      <c r="P8" s="44">
        <v>131</v>
      </c>
      <c r="Q8" s="40">
        <f t="shared" si="1"/>
        <v>13100</v>
      </c>
      <c r="R8" s="8"/>
      <c r="S8" s="8"/>
      <c r="T8" s="17"/>
      <c r="U8" s="17"/>
      <c r="V8" s="17"/>
      <c r="W8" s="17"/>
      <c r="X8" s="17"/>
      <c r="Y8" s="17"/>
    </row>
    <row r="9" spans="1:25" x14ac:dyDescent="0.2">
      <c r="A9" s="16"/>
      <c r="B9" s="17"/>
      <c r="C9" s="17"/>
      <c r="D9" s="16"/>
      <c r="E9" s="17"/>
      <c r="F9" s="17"/>
      <c r="G9" s="17"/>
      <c r="H9" s="17" t="s">
        <v>545</v>
      </c>
      <c r="I9" s="17">
        <v>450</v>
      </c>
      <c r="J9" s="17" t="s">
        <v>564</v>
      </c>
      <c r="K9" s="17">
        <f t="shared" si="0"/>
        <v>450</v>
      </c>
      <c r="L9" s="17">
        <v>50</v>
      </c>
      <c r="M9" s="17" t="str">
        <f>IF((K9+Y11)&lt;L9,"Place Order","")</f>
        <v/>
      </c>
      <c r="N9" s="17" t="s">
        <v>35</v>
      </c>
      <c r="O9" s="16"/>
      <c r="P9" s="44">
        <v>9.84</v>
      </c>
      <c r="Q9" s="40">
        <f t="shared" si="1"/>
        <v>4428</v>
      </c>
      <c r="R9" s="8"/>
      <c r="S9" s="8"/>
      <c r="T9" s="17"/>
      <c r="U9" s="17"/>
      <c r="V9" s="17"/>
      <c r="W9" s="17"/>
      <c r="X9" s="17"/>
      <c r="Y9" s="17"/>
    </row>
    <row r="10" spans="1:25" x14ac:dyDescent="0.2">
      <c r="A10" s="16"/>
      <c r="B10" s="17"/>
      <c r="C10" s="17"/>
      <c r="D10" s="16"/>
      <c r="E10" s="17"/>
      <c r="F10" s="17"/>
      <c r="G10" s="17"/>
      <c r="H10" s="17" t="s">
        <v>546</v>
      </c>
      <c r="I10" s="17">
        <v>0</v>
      </c>
      <c r="J10" s="17" t="s">
        <v>547</v>
      </c>
      <c r="K10" s="17">
        <f t="shared" si="0"/>
        <v>0</v>
      </c>
      <c r="L10" s="17">
        <v>50</v>
      </c>
      <c r="M10" s="17" t="str">
        <f>IF((K10+Y12)&lt;L10,"Place Order","")</f>
        <v>Place Order</v>
      </c>
      <c r="N10" s="17" t="s">
        <v>34</v>
      </c>
      <c r="O10" s="16"/>
      <c r="P10" s="44"/>
      <c r="Q10" s="40">
        <f t="shared" si="1"/>
        <v>0</v>
      </c>
      <c r="S10" s="8"/>
      <c r="T10" s="17"/>
      <c r="U10" s="17"/>
      <c r="V10" s="17"/>
      <c r="W10" s="17"/>
      <c r="X10" s="17"/>
      <c r="Y10" s="17">
        <f t="shared" ref="Y10:Y37" si="2">SUMIF($T$1:$X$1,"T",T10:X10)</f>
        <v>0</v>
      </c>
    </row>
    <row r="11" spans="1:25" x14ac:dyDescent="0.2">
      <c r="A11" s="16"/>
      <c r="B11" s="17"/>
      <c r="C11" s="17"/>
      <c r="D11" s="16"/>
      <c r="E11" s="17"/>
      <c r="F11" s="17"/>
      <c r="G11" s="17"/>
      <c r="H11" s="17" t="s">
        <v>548</v>
      </c>
      <c r="I11" s="17">
        <v>0</v>
      </c>
      <c r="J11" s="17" t="s">
        <v>549</v>
      </c>
      <c r="K11" s="17">
        <f t="shared" si="0"/>
        <v>0</v>
      </c>
      <c r="L11" s="17">
        <v>50</v>
      </c>
      <c r="M11" s="17" t="str">
        <f>IF((K11+Y11)&lt;L11,"Place Order","")</f>
        <v>Place Order</v>
      </c>
      <c r="N11" s="17" t="s">
        <v>35</v>
      </c>
      <c r="O11" s="16"/>
      <c r="P11" s="44"/>
      <c r="Q11" s="40">
        <f t="shared" si="1"/>
        <v>0</v>
      </c>
      <c r="S11" s="8"/>
      <c r="T11" s="17"/>
      <c r="U11" s="17"/>
      <c r="V11" s="17"/>
      <c r="W11" s="17"/>
      <c r="X11" s="17"/>
      <c r="Y11" s="17">
        <f t="shared" si="2"/>
        <v>0</v>
      </c>
    </row>
    <row r="12" spans="1:25" x14ac:dyDescent="0.2">
      <c r="A12" s="16"/>
      <c r="B12" s="17"/>
      <c r="C12" s="17"/>
      <c r="D12" s="16"/>
      <c r="E12" s="17"/>
      <c r="F12" s="17"/>
      <c r="G12" s="17"/>
      <c r="H12" s="17" t="s">
        <v>550</v>
      </c>
      <c r="I12" s="17">
        <v>234</v>
      </c>
      <c r="J12" s="17" t="s">
        <v>551</v>
      </c>
      <c r="K12" s="17">
        <f t="shared" si="0"/>
        <v>234</v>
      </c>
      <c r="L12" s="17">
        <v>50</v>
      </c>
      <c r="M12" s="17" t="str">
        <f>IF((K12+Y16)&lt;L12,"Place Order","")</f>
        <v/>
      </c>
      <c r="N12" s="17" t="s">
        <v>35</v>
      </c>
      <c r="O12" s="16"/>
      <c r="P12" s="44">
        <v>225.6</v>
      </c>
      <c r="Q12" s="40">
        <f t="shared" si="1"/>
        <v>52790.400000000001</v>
      </c>
      <c r="R12" s="8"/>
      <c r="S12" s="8"/>
      <c r="T12" s="17"/>
      <c r="U12" s="17"/>
      <c r="V12" s="17"/>
      <c r="W12" s="17"/>
      <c r="X12" s="17"/>
      <c r="Y12" s="17">
        <f t="shared" si="2"/>
        <v>0</v>
      </c>
    </row>
    <row r="13" spans="1:25" x14ac:dyDescent="0.2">
      <c r="A13" s="16"/>
      <c r="B13" s="17"/>
      <c r="C13" s="17"/>
      <c r="D13" s="16"/>
      <c r="E13" s="17"/>
      <c r="F13" s="17"/>
      <c r="G13" s="17"/>
      <c r="H13" s="17" t="s">
        <v>552</v>
      </c>
      <c r="I13" s="17">
        <v>0</v>
      </c>
      <c r="J13" s="17" t="s">
        <v>553</v>
      </c>
      <c r="K13" s="17">
        <f t="shared" si="0"/>
        <v>0</v>
      </c>
      <c r="L13" s="17">
        <v>50</v>
      </c>
      <c r="M13" s="17" t="str">
        <f>IF((K13+Y13)&lt;L13,"Place Order","")</f>
        <v>Place Order</v>
      </c>
      <c r="N13" s="17" t="s">
        <v>35</v>
      </c>
      <c r="O13" s="16"/>
      <c r="P13" s="44"/>
      <c r="Q13" s="40">
        <f t="shared" si="1"/>
        <v>0</v>
      </c>
      <c r="R13" s="8"/>
      <c r="S13" s="8"/>
      <c r="T13" s="17"/>
      <c r="U13" s="17"/>
      <c r="V13" s="17"/>
      <c r="W13" s="17"/>
      <c r="X13" s="17"/>
      <c r="Y13" s="17">
        <f t="shared" si="2"/>
        <v>0</v>
      </c>
    </row>
    <row r="14" spans="1:25" x14ac:dyDescent="0.2">
      <c r="A14" s="16"/>
      <c r="B14" s="17"/>
      <c r="C14" s="17"/>
      <c r="D14" s="16"/>
      <c r="E14" s="17"/>
      <c r="F14" s="17"/>
      <c r="G14" s="17"/>
      <c r="H14" s="17" t="s">
        <v>555</v>
      </c>
      <c r="I14" s="17">
        <v>250</v>
      </c>
      <c r="J14" s="17" t="s">
        <v>554</v>
      </c>
      <c r="K14" s="17">
        <f t="shared" si="0"/>
        <v>250</v>
      </c>
      <c r="L14" s="17">
        <v>50</v>
      </c>
      <c r="M14" s="17" t="str">
        <f>IF((K14+Y17)&lt;L14,"Place Order","")</f>
        <v/>
      </c>
      <c r="N14" s="17" t="s">
        <v>35</v>
      </c>
      <c r="O14" s="16"/>
      <c r="P14" s="44">
        <v>13.1</v>
      </c>
      <c r="Q14" s="40">
        <f t="shared" si="1"/>
        <v>3275</v>
      </c>
      <c r="R14" s="8"/>
      <c r="S14" s="8"/>
      <c r="T14" s="17"/>
      <c r="U14" s="17"/>
      <c r="V14" s="17"/>
      <c r="W14" s="17"/>
      <c r="X14" s="17"/>
      <c r="Y14" s="17">
        <f t="shared" si="2"/>
        <v>0</v>
      </c>
    </row>
    <row r="15" spans="1:25" x14ac:dyDescent="0.2">
      <c r="A15" s="16"/>
      <c r="B15" s="17"/>
      <c r="C15" s="17"/>
      <c r="D15" s="16"/>
      <c r="E15" s="17"/>
      <c r="F15" s="17"/>
      <c r="G15" s="17"/>
      <c r="H15" s="17" t="s">
        <v>557</v>
      </c>
      <c r="I15" s="17">
        <v>0</v>
      </c>
      <c r="J15" s="17" t="s">
        <v>556</v>
      </c>
      <c r="K15" s="17">
        <f t="shared" si="0"/>
        <v>0</v>
      </c>
      <c r="L15" s="17">
        <v>50</v>
      </c>
      <c r="M15" s="17" t="str">
        <f>IF((K15+Y18)&lt;L15,"Place Order","")</f>
        <v>Place Order</v>
      </c>
      <c r="N15" s="17" t="s">
        <v>34</v>
      </c>
      <c r="O15" s="16"/>
      <c r="P15" s="44"/>
      <c r="Q15" s="40">
        <f t="shared" si="1"/>
        <v>0</v>
      </c>
      <c r="R15" s="8"/>
      <c r="S15" s="8"/>
      <c r="T15" s="17"/>
      <c r="U15" s="17"/>
      <c r="V15" s="17"/>
      <c r="W15" s="17"/>
      <c r="X15" s="17"/>
      <c r="Y15" s="17">
        <f t="shared" si="2"/>
        <v>0</v>
      </c>
    </row>
    <row r="16" spans="1:25" x14ac:dyDescent="0.2">
      <c r="A16" s="16"/>
      <c r="B16" s="17"/>
      <c r="C16" s="17"/>
      <c r="D16" s="37"/>
      <c r="E16" s="17"/>
      <c r="F16" s="17"/>
      <c r="G16" s="17"/>
      <c r="H16" s="17" t="s">
        <v>558</v>
      </c>
      <c r="I16" s="17">
        <v>0.7</v>
      </c>
      <c r="J16" s="17" t="s">
        <v>559</v>
      </c>
      <c r="K16" s="17">
        <f t="shared" si="0"/>
        <v>0.7</v>
      </c>
      <c r="L16" s="17">
        <v>10</v>
      </c>
      <c r="M16" s="17" t="str">
        <f t="shared" ref="M16:M17" si="3">IF((K16+Y19)&lt;L16,"Place Order","")</f>
        <v>Place Order</v>
      </c>
      <c r="N16" s="17" t="s">
        <v>34</v>
      </c>
      <c r="O16" s="16"/>
      <c r="P16" s="44">
        <v>35000</v>
      </c>
      <c r="Q16" s="40">
        <f t="shared" si="1"/>
        <v>24500</v>
      </c>
      <c r="R16" s="8" t="s">
        <v>67</v>
      </c>
      <c r="S16" s="8"/>
      <c r="T16" s="17"/>
      <c r="U16" s="17"/>
      <c r="V16" s="17"/>
      <c r="W16" s="17"/>
      <c r="X16" s="17"/>
      <c r="Y16" s="17">
        <f t="shared" si="2"/>
        <v>0</v>
      </c>
    </row>
    <row r="17" spans="1:25" x14ac:dyDescent="0.2">
      <c r="A17" s="16"/>
      <c r="B17" s="17"/>
      <c r="C17" s="17"/>
      <c r="D17" s="37"/>
      <c r="E17" s="17"/>
      <c r="F17" s="17"/>
      <c r="G17" s="17"/>
      <c r="H17" s="17" t="s">
        <v>560</v>
      </c>
      <c r="I17" s="17">
        <v>0</v>
      </c>
      <c r="J17" s="17" t="s">
        <v>561</v>
      </c>
      <c r="K17" s="17">
        <f t="shared" si="0"/>
        <v>0</v>
      </c>
      <c r="L17" s="17">
        <v>10</v>
      </c>
      <c r="M17" s="17" t="str">
        <f t="shared" si="3"/>
        <v>Place Order</v>
      </c>
      <c r="N17" s="17" t="s">
        <v>34</v>
      </c>
      <c r="O17" s="16"/>
      <c r="P17" s="44">
        <v>5500</v>
      </c>
      <c r="Q17" s="40">
        <f t="shared" si="1"/>
        <v>0</v>
      </c>
      <c r="R17" s="8"/>
      <c r="S17" s="8"/>
      <c r="T17" s="17"/>
      <c r="U17" s="17"/>
      <c r="V17" s="17"/>
      <c r="W17" s="17"/>
      <c r="X17" s="17"/>
      <c r="Y17" s="17">
        <f t="shared" si="2"/>
        <v>0</v>
      </c>
    </row>
    <row r="18" spans="1:25" x14ac:dyDescent="0.2">
      <c r="A18" s="16"/>
      <c r="B18" s="17"/>
      <c r="C18" s="17"/>
      <c r="D18" s="37"/>
      <c r="E18" s="17"/>
      <c r="F18" s="17"/>
      <c r="G18" s="17"/>
      <c r="H18" s="17" t="s">
        <v>562</v>
      </c>
      <c r="I18" s="17">
        <v>0</v>
      </c>
      <c r="J18" s="17" t="s">
        <v>563</v>
      </c>
      <c r="K18" s="17">
        <f t="shared" si="0"/>
        <v>0</v>
      </c>
      <c r="L18" s="17">
        <v>10</v>
      </c>
      <c r="M18" s="17" t="str">
        <f>IF((K18+Y22)&lt;L18,"Place Order","")</f>
        <v>Place Order</v>
      </c>
      <c r="N18" s="17" t="s">
        <v>35</v>
      </c>
      <c r="O18" s="16"/>
      <c r="P18" s="44">
        <v>10</v>
      </c>
      <c r="Q18" s="40">
        <f t="shared" si="1"/>
        <v>0</v>
      </c>
      <c r="R18" s="8"/>
      <c r="S18" s="8"/>
      <c r="T18" s="17"/>
      <c r="U18" s="17"/>
      <c r="V18" s="17"/>
      <c r="W18" s="17"/>
      <c r="X18" s="17"/>
      <c r="Y18" s="17"/>
    </row>
    <row r="19" spans="1:25" x14ac:dyDescent="0.2">
      <c r="A19" s="16"/>
      <c r="B19" s="17"/>
      <c r="C19" s="17"/>
      <c r="D19" s="37"/>
      <c r="E19" s="17"/>
      <c r="F19" s="17"/>
      <c r="G19" s="17"/>
      <c r="H19" s="17" t="s">
        <v>565</v>
      </c>
      <c r="I19" s="17">
        <v>0</v>
      </c>
      <c r="J19" s="17" t="s">
        <v>566</v>
      </c>
      <c r="K19" s="17">
        <f t="shared" si="0"/>
        <v>0</v>
      </c>
      <c r="L19" s="17">
        <v>10</v>
      </c>
      <c r="M19" s="17" t="str">
        <f t="shared" ref="M19:M44" si="4">IF((K19+Y19)&lt;L19,"Place Order","")</f>
        <v>Place Order</v>
      </c>
      <c r="N19" s="17" t="s">
        <v>34</v>
      </c>
      <c r="O19" s="16"/>
      <c r="P19" s="44"/>
      <c r="Q19" s="40">
        <f t="shared" si="1"/>
        <v>0</v>
      </c>
      <c r="R19" s="8"/>
      <c r="S19" s="8"/>
      <c r="T19" s="17"/>
      <c r="U19" s="17"/>
      <c r="V19" s="17"/>
      <c r="W19" s="17"/>
      <c r="X19" s="17"/>
      <c r="Y19" s="17">
        <f t="shared" si="2"/>
        <v>0</v>
      </c>
    </row>
    <row r="20" spans="1:25" x14ac:dyDescent="0.2">
      <c r="A20" s="16"/>
      <c r="B20" s="17"/>
      <c r="C20" s="17"/>
      <c r="D20" s="37"/>
      <c r="E20" s="17"/>
      <c r="F20" s="17"/>
      <c r="G20" s="17"/>
      <c r="H20" s="17" t="s">
        <v>610</v>
      </c>
      <c r="I20" s="17">
        <v>0</v>
      </c>
      <c r="J20" s="17" t="s">
        <v>567</v>
      </c>
      <c r="K20" s="17">
        <f t="shared" si="0"/>
        <v>0</v>
      </c>
      <c r="L20" s="17">
        <v>10</v>
      </c>
      <c r="M20" s="17" t="str">
        <f t="shared" si="4"/>
        <v>Place Order</v>
      </c>
      <c r="N20" s="17" t="s">
        <v>34</v>
      </c>
      <c r="O20" s="16"/>
      <c r="P20" s="44">
        <v>900</v>
      </c>
      <c r="Q20" s="40">
        <f t="shared" si="1"/>
        <v>0</v>
      </c>
      <c r="R20" s="8"/>
      <c r="S20" s="8"/>
      <c r="T20" s="17"/>
      <c r="U20" s="17"/>
      <c r="V20" s="17"/>
      <c r="W20" s="17"/>
      <c r="X20" s="17"/>
      <c r="Y20" s="17">
        <f t="shared" si="2"/>
        <v>0</v>
      </c>
    </row>
    <row r="21" spans="1:25" x14ac:dyDescent="0.2">
      <c r="A21" s="16"/>
      <c r="B21" s="17"/>
      <c r="C21" s="17"/>
      <c r="D21" s="37"/>
      <c r="E21" s="17"/>
      <c r="F21" s="17"/>
      <c r="G21" s="17"/>
      <c r="H21" s="17" t="s">
        <v>611</v>
      </c>
      <c r="I21" s="17">
        <v>0</v>
      </c>
      <c r="J21" s="17" t="s">
        <v>609</v>
      </c>
      <c r="K21" s="17">
        <f t="shared" si="0"/>
        <v>0</v>
      </c>
      <c r="L21" s="17">
        <v>10</v>
      </c>
      <c r="M21" s="17" t="str">
        <f t="shared" si="4"/>
        <v>Place Order</v>
      </c>
      <c r="N21" s="17" t="s">
        <v>34</v>
      </c>
      <c r="O21" s="16"/>
      <c r="P21" s="44">
        <v>900</v>
      </c>
      <c r="Q21" s="40"/>
      <c r="R21" s="8"/>
      <c r="S21" s="8"/>
      <c r="T21" s="17"/>
      <c r="U21" s="17"/>
      <c r="V21" s="17"/>
      <c r="W21" s="17"/>
      <c r="X21" s="17"/>
      <c r="Y21" s="17"/>
    </row>
    <row r="22" spans="1:25" x14ac:dyDescent="0.2">
      <c r="A22" s="16"/>
      <c r="B22" s="17"/>
      <c r="C22" s="17"/>
      <c r="D22" s="16"/>
      <c r="E22" s="17"/>
      <c r="F22" s="17"/>
      <c r="G22" s="17"/>
      <c r="H22" s="17" t="s">
        <v>568</v>
      </c>
      <c r="I22" s="17">
        <v>0</v>
      </c>
      <c r="J22" s="17" t="s">
        <v>569</v>
      </c>
      <c r="K22" s="17">
        <f t="shared" si="0"/>
        <v>0</v>
      </c>
      <c r="L22" s="17">
        <v>10</v>
      </c>
      <c r="M22" s="17" t="str">
        <f t="shared" si="4"/>
        <v>Place Order</v>
      </c>
      <c r="N22" s="17" t="s">
        <v>34</v>
      </c>
      <c r="O22" s="16"/>
      <c r="P22" s="44">
        <v>8000</v>
      </c>
      <c r="Q22" s="40">
        <f t="shared" si="1"/>
        <v>0</v>
      </c>
      <c r="R22" s="8"/>
      <c r="S22" s="58"/>
      <c r="T22" s="17"/>
      <c r="U22" s="17"/>
      <c r="V22" s="17"/>
      <c r="W22" s="17"/>
      <c r="X22" s="17"/>
      <c r="Y22" s="17"/>
    </row>
    <row r="23" spans="1:25" x14ac:dyDescent="0.2">
      <c r="A23" s="16"/>
      <c r="B23" s="17"/>
      <c r="C23" s="17"/>
      <c r="D23" s="16"/>
      <c r="E23" s="17"/>
      <c r="F23" s="17"/>
      <c r="G23" s="17"/>
      <c r="H23" s="17" t="s">
        <v>570</v>
      </c>
      <c r="I23" s="17">
        <v>21.1</v>
      </c>
      <c r="J23" s="17" t="s">
        <v>571</v>
      </c>
      <c r="K23" s="17">
        <f t="shared" si="0"/>
        <v>0</v>
      </c>
      <c r="L23" s="17">
        <v>10</v>
      </c>
      <c r="M23" s="17" t="str">
        <f t="shared" si="4"/>
        <v>Place Order</v>
      </c>
      <c r="N23" s="17" t="s">
        <v>35</v>
      </c>
      <c r="O23" s="16"/>
      <c r="P23" s="44">
        <v>1300</v>
      </c>
      <c r="Q23" s="40">
        <f t="shared" si="1"/>
        <v>0</v>
      </c>
      <c r="R23" s="8"/>
      <c r="S23" s="8" t="s">
        <v>67</v>
      </c>
      <c r="T23" s="17"/>
      <c r="U23" s="17"/>
      <c r="V23" s="17"/>
      <c r="W23" s="17"/>
      <c r="X23" s="17"/>
      <c r="Y23" s="17">
        <f t="shared" si="2"/>
        <v>0</v>
      </c>
    </row>
    <row r="24" spans="1:25" x14ac:dyDescent="0.2">
      <c r="A24" s="16"/>
      <c r="B24" s="17"/>
      <c r="C24" s="17"/>
      <c r="D24" s="16"/>
      <c r="E24" s="17"/>
      <c r="F24" s="17"/>
      <c r="G24" s="17"/>
      <c r="H24" s="17" t="s">
        <v>572</v>
      </c>
      <c r="I24" s="17">
        <v>0</v>
      </c>
      <c r="J24" s="17" t="s">
        <v>573</v>
      </c>
      <c r="K24" s="17">
        <f t="shared" si="0"/>
        <v>0</v>
      </c>
      <c r="L24" s="17">
        <v>10</v>
      </c>
      <c r="M24" s="17" t="str">
        <f t="shared" si="4"/>
        <v>Place Order</v>
      </c>
      <c r="N24" s="17" t="s">
        <v>35</v>
      </c>
      <c r="O24" s="16"/>
      <c r="P24" s="44"/>
      <c r="Q24" s="40">
        <f t="shared" si="1"/>
        <v>0</v>
      </c>
      <c r="R24" s="8"/>
      <c r="S24" s="8"/>
      <c r="T24" s="17"/>
      <c r="U24" s="17"/>
      <c r="V24" s="17"/>
      <c r="W24" s="17"/>
      <c r="X24" s="17"/>
      <c r="Y24" s="17">
        <f t="shared" si="2"/>
        <v>0</v>
      </c>
    </row>
    <row r="25" spans="1:25" x14ac:dyDescent="0.2">
      <c r="A25" s="16"/>
      <c r="B25" s="17"/>
      <c r="C25" s="17"/>
      <c r="D25" s="16"/>
      <c r="E25" s="17"/>
      <c r="F25" s="17"/>
      <c r="G25" s="17"/>
      <c r="H25" s="17" t="s">
        <v>574</v>
      </c>
      <c r="I25" s="17">
        <v>0</v>
      </c>
      <c r="J25" s="17" t="s">
        <v>575</v>
      </c>
      <c r="K25" s="17">
        <f t="shared" si="0"/>
        <v>0</v>
      </c>
      <c r="L25" s="17">
        <v>10</v>
      </c>
      <c r="M25" s="17" t="str">
        <f t="shared" si="4"/>
        <v>Place Order</v>
      </c>
      <c r="N25" s="17" t="s">
        <v>34</v>
      </c>
      <c r="O25" s="16"/>
      <c r="P25" s="44"/>
      <c r="Q25" s="40">
        <f t="shared" si="1"/>
        <v>0</v>
      </c>
      <c r="R25" s="8"/>
      <c r="S25" s="8"/>
      <c r="T25" s="17"/>
      <c r="U25" s="17"/>
      <c r="V25" s="17"/>
      <c r="W25" s="17"/>
      <c r="X25" s="17"/>
      <c r="Y25" s="17">
        <f t="shared" si="2"/>
        <v>0</v>
      </c>
    </row>
    <row r="26" spans="1:25" x14ac:dyDescent="0.2">
      <c r="A26" s="16"/>
      <c r="B26" s="17"/>
      <c r="C26" s="17"/>
      <c r="D26" s="16"/>
      <c r="E26" s="17"/>
      <c r="F26" s="17"/>
      <c r="G26" s="17"/>
      <c r="H26" s="17" t="s">
        <v>576</v>
      </c>
      <c r="I26" s="17">
        <v>0</v>
      </c>
      <c r="J26" s="17" t="s">
        <v>577</v>
      </c>
      <c r="K26" s="17">
        <f t="shared" si="0"/>
        <v>0</v>
      </c>
      <c r="L26" s="17">
        <v>10</v>
      </c>
      <c r="M26" s="17" t="str">
        <f t="shared" si="4"/>
        <v>Place Order</v>
      </c>
      <c r="N26" s="17" t="s">
        <v>34</v>
      </c>
      <c r="O26" s="16"/>
      <c r="P26" s="44">
        <v>35000</v>
      </c>
      <c r="Q26" s="40">
        <f t="shared" si="1"/>
        <v>0</v>
      </c>
      <c r="R26" s="8"/>
      <c r="S26" s="8"/>
      <c r="T26" s="17"/>
      <c r="U26" s="17"/>
      <c r="V26" s="17"/>
      <c r="W26" s="17"/>
      <c r="X26" s="17"/>
      <c r="Y26" s="17"/>
    </row>
    <row r="27" spans="1:25" x14ac:dyDescent="0.2">
      <c r="A27" s="16"/>
      <c r="B27" s="17"/>
      <c r="C27" s="17"/>
      <c r="D27" s="16"/>
      <c r="E27" s="17"/>
      <c r="F27" s="17"/>
      <c r="G27" s="17"/>
      <c r="H27" s="17" t="s">
        <v>579</v>
      </c>
      <c r="I27" s="17">
        <v>0</v>
      </c>
      <c r="J27" s="17" t="s">
        <v>578</v>
      </c>
      <c r="K27" s="17">
        <f t="shared" si="0"/>
        <v>0</v>
      </c>
      <c r="L27" s="17">
        <v>10</v>
      </c>
      <c r="M27" s="17" t="str">
        <f t="shared" si="4"/>
        <v>Place Order</v>
      </c>
      <c r="N27" s="17" t="s">
        <v>34</v>
      </c>
      <c r="O27" s="16"/>
      <c r="P27" s="44"/>
      <c r="Q27" s="40">
        <f t="shared" si="1"/>
        <v>0</v>
      </c>
      <c r="R27" s="8"/>
      <c r="S27" s="8"/>
      <c r="T27" s="17"/>
      <c r="U27" s="17"/>
      <c r="V27" s="17"/>
      <c r="W27" s="17"/>
      <c r="X27" s="17"/>
      <c r="Y27" s="17">
        <f t="shared" si="2"/>
        <v>0</v>
      </c>
    </row>
    <row r="28" spans="1:25" x14ac:dyDescent="0.2">
      <c r="A28" s="16"/>
      <c r="B28" s="17"/>
      <c r="C28" s="17"/>
      <c r="D28" s="16"/>
      <c r="E28" s="17"/>
      <c r="F28" s="17"/>
      <c r="G28" s="17"/>
      <c r="H28" s="17" t="s">
        <v>580</v>
      </c>
      <c r="I28" s="17">
        <v>0</v>
      </c>
      <c r="J28" s="17" t="s">
        <v>581</v>
      </c>
      <c r="K28" s="17">
        <f t="shared" si="0"/>
        <v>0</v>
      </c>
      <c r="L28" s="17">
        <v>10</v>
      </c>
      <c r="M28" s="17" t="str">
        <f t="shared" si="4"/>
        <v>Place Order</v>
      </c>
      <c r="N28" s="17" t="s">
        <v>35</v>
      </c>
      <c r="O28" s="16"/>
      <c r="P28" s="44"/>
      <c r="Q28" s="40">
        <f t="shared" si="1"/>
        <v>0</v>
      </c>
      <c r="R28" s="8"/>
      <c r="S28" s="8"/>
      <c r="T28" s="17"/>
      <c r="U28" s="17"/>
      <c r="V28" s="17"/>
      <c r="W28" s="17"/>
      <c r="X28" s="17"/>
      <c r="Y28" s="17">
        <f t="shared" si="2"/>
        <v>0</v>
      </c>
    </row>
    <row r="29" spans="1:25" x14ac:dyDescent="0.2">
      <c r="A29" s="16"/>
      <c r="B29" s="17"/>
      <c r="C29" s="17"/>
      <c r="D29" s="16"/>
      <c r="E29" s="17"/>
      <c r="F29" s="17"/>
      <c r="G29" s="17"/>
      <c r="H29" s="17" t="s">
        <v>582</v>
      </c>
      <c r="I29" s="17">
        <v>0</v>
      </c>
      <c r="J29" s="17" t="s">
        <v>583</v>
      </c>
      <c r="K29" s="17">
        <f t="shared" si="0"/>
        <v>0</v>
      </c>
      <c r="L29" s="17">
        <v>10</v>
      </c>
      <c r="M29" s="17" t="str">
        <f t="shared" si="4"/>
        <v>Place Order</v>
      </c>
      <c r="N29" s="17" t="s">
        <v>34</v>
      </c>
      <c r="O29" s="16"/>
      <c r="P29" s="44"/>
      <c r="Q29" s="40">
        <f t="shared" si="1"/>
        <v>0</v>
      </c>
      <c r="R29" s="8"/>
      <c r="S29" s="8"/>
      <c r="T29" s="17"/>
      <c r="U29" s="17"/>
      <c r="V29" s="17"/>
      <c r="W29" s="17"/>
      <c r="X29" s="17"/>
      <c r="Y29" s="17">
        <f t="shared" si="2"/>
        <v>0</v>
      </c>
    </row>
    <row r="30" spans="1:25" x14ac:dyDescent="0.2">
      <c r="A30" s="16"/>
      <c r="B30" s="17"/>
      <c r="C30" s="17"/>
      <c r="D30" s="16"/>
      <c r="E30" s="17"/>
      <c r="F30" s="17"/>
      <c r="G30" s="17"/>
      <c r="H30" s="17" t="s">
        <v>584</v>
      </c>
      <c r="I30" s="17">
        <v>0</v>
      </c>
      <c r="J30" s="17" t="s">
        <v>585</v>
      </c>
      <c r="K30" s="17">
        <f t="shared" si="0"/>
        <v>0</v>
      </c>
      <c r="L30" s="17">
        <v>10</v>
      </c>
      <c r="M30" s="17" t="str">
        <f t="shared" si="4"/>
        <v>Place Order</v>
      </c>
      <c r="N30" s="17" t="s">
        <v>34</v>
      </c>
      <c r="O30" s="16"/>
      <c r="P30" s="44"/>
      <c r="Q30" s="40">
        <f t="shared" si="1"/>
        <v>0</v>
      </c>
      <c r="R30" s="8"/>
      <c r="S30" s="8"/>
      <c r="T30" s="17"/>
      <c r="U30" s="17"/>
      <c r="V30" s="17"/>
      <c r="W30" s="17"/>
      <c r="X30" s="17"/>
      <c r="Y30" s="17">
        <f t="shared" si="2"/>
        <v>0</v>
      </c>
    </row>
    <row r="31" spans="1:25" x14ac:dyDescent="0.2">
      <c r="A31" s="16"/>
      <c r="B31" s="17"/>
      <c r="C31" s="17"/>
      <c r="D31" s="16"/>
      <c r="E31" s="17"/>
      <c r="F31" s="17"/>
      <c r="G31" s="17"/>
      <c r="H31" s="17" t="s">
        <v>586</v>
      </c>
      <c r="I31" s="17">
        <v>0</v>
      </c>
      <c r="J31" s="17" t="s">
        <v>587</v>
      </c>
      <c r="K31" s="17">
        <f t="shared" si="0"/>
        <v>0</v>
      </c>
      <c r="L31" s="17">
        <v>10</v>
      </c>
      <c r="M31" s="17" t="str">
        <f t="shared" si="4"/>
        <v>Place Order</v>
      </c>
      <c r="N31" s="17" t="s">
        <v>34</v>
      </c>
      <c r="O31" s="16"/>
      <c r="P31" s="44"/>
      <c r="Q31" s="40">
        <f t="shared" si="1"/>
        <v>0</v>
      </c>
      <c r="R31" s="8"/>
      <c r="S31" s="8"/>
      <c r="T31" s="17"/>
      <c r="U31" s="17"/>
      <c r="V31" s="17"/>
      <c r="W31" s="17"/>
      <c r="X31" s="17"/>
      <c r="Y31" s="17"/>
    </row>
    <row r="32" spans="1:25" x14ac:dyDescent="0.2">
      <c r="A32" s="16"/>
      <c r="B32" s="17"/>
      <c r="C32" s="17"/>
      <c r="D32" s="16"/>
      <c r="E32" s="17"/>
      <c r="F32" s="17"/>
      <c r="G32" s="17"/>
      <c r="H32" s="17" t="s">
        <v>589</v>
      </c>
      <c r="I32" s="17">
        <v>0</v>
      </c>
      <c r="J32" s="17" t="s">
        <v>588</v>
      </c>
      <c r="K32" s="17">
        <f t="shared" si="0"/>
        <v>0</v>
      </c>
      <c r="L32" s="17">
        <v>10</v>
      </c>
      <c r="M32" s="17" t="str">
        <f t="shared" si="4"/>
        <v>Place Order</v>
      </c>
      <c r="N32" s="17" t="s">
        <v>35</v>
      </c>
      <c r="O32" s="16"/>
      <c r="P32" s="44"/>
      <c r="Q32" s="40">
        <f t="shared" si="1"/>
        <v>0</v>
      </c>
      <c r="R32" s="8" t="s">
        <v>67</v>
      </c>
      <c r="S32" s="8"/>
      <c r="T32" s="17"/>
      <c r="U32" s="17"/>
      <c r="V32" s="17"/>
      <c r="W32" s="17"/>
      <c r="X32" s="17"/>
      <c r="Y32" s="17">
        <f t="shared" si="2"/>
        <v>0</v>
      </c>
    </row>
    <row r="33" spans="1:25" x14ac:dyDescent="0.2">
      <c r="A33" s="16"/>
      <c r="B33" s="17"/>
      <c r="C33" s="17"/>
      <c r="D33" s="16"/>
      <c r="E33" s="17"/>
      <c r="F33" s="17"/>
      <c r="G33" s="17"/>
      <c r="H33" s="17" t="s">
        <v>590</v>
      </c>
      <c r="I33" s="17">
        <v>0</v>
      </c>
      <c r="J33" s="17" t="s">
        <v>591</v>
      </c>
      <c r="K33" s="17">
        <f t="shared" si="0"/>
        <v>0</v>
      </c>
      <c r="L33" s="17">
        <v>0</v>
      </c>
      <c r="M33" s="17" t="str">
        <f t="shared" si="4"/>
        <v/>
      </c>
      <c r="N33" s="17" t="s">
        <v>35</v>
      </c>
      <c r="O33" s="16"/>
      <c r="P33" s="45"/>
      <c r="Q33" s="40">
        <f t="shared" si="1"/>
        <v>0</v>
      </c>
      <c r="R33" s="8"/>
      <c r="S33" s="8"/>
      <c r="T33" s="17"/>
      <c r="U33" s="17"/>
      <c r="V33" s="17"/>
      <c r="W33" s="17"/>
      <c r="X33" s="17"/>
      <c r="Y33" s="17">
        <f t="shared" si="2"/>
        <v>0</v>
      </c>
    </row>
    <row r="34" spans="1:25" x14ac:dyDescent="0.2">
      <c r="A34" s="16"/>
      <c r="B34" s="17"/>
      <c r="C34" s="17"/>
      <c r="D34" s="16"/>
      <c r="E34" s="17"/>
      <c r="F34" s="17"/>
      <c r="G34" s="17"/>
      <c r="H34" s="17" t="s">
        <v>592</v>
      </c>
      <c r="I34" s="17">
        <v>0</v>
      </c>
      <c r="J34" s="17" t="s">
        <v>593</v>
      </c>
      <c r="K34" s="17">
        <f t="shared" si="0"/>
        <v>0</v>
      </c>
      <c r="L34" s="17">
        <v>0</v>
      </c>
      <c r="M34" s="17" t="str">
        <f t="shared" si="4"/>
        <v/>
      </c>
      <c r="N34" s="17" t="s">
        <v>35</v>
      </c>
      <c r="O34" s="16"/>
      <c r="P34" s="44">
        <v>100</v>
      </c>
      <c r="Q34" s="40">
        <f t="shared" si="1"/>
        <v>0</v>
      </c>
      <c r="R34" s="8"/>
      <c r="S34" s="8"/>
      <c r="T34" s="17"/>
      <c r="U34" s="17"/>
      <c r="V34" s="17"/>
      <c r="W34" s="17"/>
      <c r="X34" s="17"/>
      <c r="Y34" s="17">
        <f t="shared" si="2"/>
        <v>0</v>
      </c>
    </row>
    <row r="35" spans="1:25" x14ac:dyDescent="0.2">
      <c r="A35" s="16"/>
      <c r="B35" s="17"/>
      <c r="C35" s="17"/>
      <c r="D35" s="16"/>
      <c r="E35" s="17"/>
      <c r="F35" s="17"/>
      <c r="G35" s="17"/>
      <c r="H35" s="17" t="s">
        <v>595</v>
      </c>
      <c r="I35" s="17">
        <v>0</v>
      </c>
      <c r="J35" s="17" t="s">
        <v>596</v>
      </c>
      <c r="K35" s="17">
        <f t="shared" si="0"/>
        <v>0</v>
      </c>
      <c r="L35" s="17"/>
      <c r="M35" s="17" t="str">
        <f t="shared" si="4"/>
        <v/>
      </c>
      <c r="N35" s="17" t="s">
        <v>35</v>
      </c>
      <c r="O35" s="16"/>
      <c r="P35" s="44"/>
      <c r="Q35" s="40">
        <f t="shared" si="1"/>
        <v>0</v>
      </c>
      <c r="R35" s="8"/>
      <c r="S35" s="8"/>
      <c r="T35" s="17"/>
      <c r="U35" s="17"/>
      <c r="V35" s="17"/>
      <c r="W35" s="17"/>
      <c r="X35" s="17"/>
      <c r="Y35" s="17"/>
    </row>
    <row r="36" spans="1:25" x14ac:dyDescent="0.2">
      <c r="A36" s="16"/>
      <c r="B36" s="17"/>
      <c r="C36" s="17"/>
      <c r="D36" s="16"/>
      <c r="E36" s="17"/>
      <c r="F36" s="17"/>
      <c r="G36" s="17"/>
      <c r="H36" s="17" t="s">
        <v>597</v>
      </c>
      <c r="I36" s="17">
        <v>0</v>
      </c>
      <c r="J36" s="17" t="s">
        <v>598</v>
      </c>
      <c r="K36" s="17">
        <f>I36+SUMIF($B$5:$B$37,J36,$C$5:$C$37)-SUMIF($E$5:$E$37,J36,$F$5:$F$37)</f>
        <v>0</v>
      </c>
      <c r="L36" s="17">
        <v>0</v>
      </c>
      <c r="M36" s="17" t="str">
        <f t="shared" si="4"/>
        <v/>
      </c>
      <c r="N36" s="17" t="s">
        <v>35</v>
      </c>
      <c r="O36" s="16"/>
      <c r="P36" s="44"/>
      <c r="Q36" s="40">
        <f t="shared" si="1"/>
        <v>0</v>
      </c>
      <c r="R36" s="8"/>
      <c r="S36" s="8"/>
      <c r="T36" s="17"/>
      <c r="U36" s="17"/>
      <c r="V36" s="17"/>
      <c r="W36" s="17"/>
      <c r="X36" s="17"/>
      <c r="Y36" s="17"/>
    </row>
    <row r="37" spans="1:25" x14ac:dyDescent="0.2">
      <c r="A37" s="16"/>
      <c r="B37" s="17"/>
      <c r="C37" s="17"/>
      <c r="D37" s="16"/>
      <c r="E37" s="17"/>
      <c r="F37" s="17"/>
      <c r="G37" s="17"/>
      <c r="H37" s="17" t="s">
        <v>599</v>
      </c>
      <c r="I37" s="17">
        <v>100</v>
      </c>
      <c r="J37" s="17" t="s">
        <v>600</v>
      </c>
      <c r="K37" s="17">
        <f>I37+SUMIF($B$5:$B$37,J37,$C$5:$C$37)-SUMIF($E$5:$E$37,J37,$F$5:$F$37)</f>
        <v>100</v>
      </c>
      <c r="L37" s="17">
        <v>0</v>
      </c>
      <c r="M37" s="17" t="str">
        <f t="shared" si="4"/>
        <v/>
      </c>
      <c r="N37" s="17" t="s">
        <v>35</v>
      </c>
      <c r="O37" s="16"/>
      <c r="P37" s="44">
        <v>10</v>
      </c>
      <c r="Q37" s="40">
        <f t="shared" si="1"/>
        <v>1000</v>
      </c>
      <c r="R37" s="8"/>
      <c r="S37" s="8"/>
      <c r="T37" s="17"/>
      <c r="U37" s="17"/>
      <c r="V37" s="17"/>
      <c r="W37" s="17"/>
      <c r="X37" s="17"/>
      <c r="Y37" s="17">
        <f t="shared" si="2"/>
        <v>0</v>
      </c>
    </row>
    <row r="38" spans="1:25" x14ac:dyDescent="0.2">
      <c r="H38" s="17" t="s">
        <v>601</v>
      </c>
      <c r="I38" s="17">
        <v>0</v>
      </c>
      <c r="J38" s="17" t="s">
        <v>628</v>
      </c>
      <c r="K38" s="17">
        <f t="shared" ref="K38:K46" si="5">I38+SUMIF($B$5:$B$37,J38,$C$5:$C$37)-SUMIF($E$5:$E$37,J38,$F$5:$F$37)</f>
        <v>0</v>
      </c>
      <c r="L38" s="17">
        <v>0</v>
      </c>
      <c r="M38" s="17" t="str">
        <f t="shared" si="4"/>
        <v/>
      </c>
      <c r="N38" s="17" t="s">
        <v>35</v>
      </c>
      <c r="O38" s="16"/>
      <c r="P38" s="44">
        <v>8500</v>
      </c>
      <c r="Q38" s="40">
        <f t="shared" si="1"/>
        <v>0</v>
      </c>
      <c r="S38" s="8"/>
      <c r="T38" s="8"/>
      <c r="U38" s="8"/>
      <c r="V38" s="8"/>
      <c r="W38" s="8"/>
      <c r="X38" s="8"/>
      <c r="Y38" s="8"/>
    </row>
    <row r="39" spans="1:25" x14ac:dyDescent="0.2">
      <c r="H39" s="17" t="s">
        <v>603</v>
      </c>
      <c r="I39" s="17">
        <v>0</v>
      </c>
      <c r="J39" s="17" t="s">
        <v>604</v>
      </c>
      <c r="K39" s="17">
        <f t="shared" si="5"/>
        <v>0</v>
      </c>
      <c r="L39" s="17">
        <v>0</v>
      </c>
      <c r="M39" s="17" t="str">
        <f t="shared" si="4"/>
        <v/>
      </c>
      <c r="N39" s="17" t="s">
        <v>35</v>
      </c>
      <c r="O39" s="16"/>
      <c r="P39" s="44"/>
      <c r="Q39" s="40">
        <f t="shared" si="1"/>
        <v>0</v>
      </c>
      <c r="S39" s="8"/>
      <c r="T39" s="8"/>
      <c r="U39" s="8"/>
      <c r="V39" s="8"/>
      <c r="W39" s="8"/>
      <c r="X39" s="8"/>
      <c r="Y39" s="8"/>
    </row>
    <row r="40" spans="1:25" x14ac:dyDescent="0.2">
      <c r="H40" s="17" t="s">
        <v>605</v>
      </c>
      <c r="I40" s="17">
        <v>500</v>
      </c>
      <c r="J40" s="17" t="s">
        <v>594</v>
      </c>
      <c r="K40" s="17">
        <f t="shared" si="5"/>
        <v>500</v>
      </c>
      <c r="L40" s="17">
        <v>0</v>
      </c>
      <c r="M40" s="17" t="str">
        <f t="shared" si="4"/>
        <v/>
      </c>
      <c r="N40" s="17" t="s">
        <v>35</v>
      </c>
      <c r="O40" s="16"/>
      <c r="P40" s="44">
        <v>7.5</v>
      </c>
      <c r="Q40" s="40">
        <f t="shared" si="1"/>
        <v>3750</v>
      </c>
      <c r="S40" s="8"/>
      <c r="T40" s="8"/>
      <c r="U40" s="8"/>
      <c r="V40" s="8"/>
      <c r="W40" s="8"/>
      <c r="X40" s="8"/>
      <c r="Y40" s="8"/>
    </row>
    <row r="41" spans="1:25" x14ac:dyDescent="0.2">
      <c r="H41" s="17" t="s">
        <v>606</v>
      </c>
      <c r="I41" s="17">
        <v>0</v>
      </c>
      <c r="J41" s="17" t="s">
        <v>607</v>
      </c>
      <c r="K41" s="17">
        <f t="shared" si="5"/>
        <v>0</v>
      </c>
      <c r="L41" s="17">
        <v>0</v>
      </c>
      <c r="M41" s="17" t="str">
        <f t="shared" si="4"/>
        <v/>
      </c>
      <c r="N41" s="17" t="s">
        <v>35</v>
      </c>
      <c r="O41" s="16"/>
      <c r="P41" s="44"/>
      <c r="Q41" s="40">
        <f t="shared" si="1"/>
        <v>0</v>
      </c>
      <c r="S41" s="8"/>
      <c r="T41" s="8"/>
      <c r="U41" s="8"/>
      <c r="V41" s="8"/>
      <c r="W41" s="8"/>
      <c r="X41" s="8"/>
      <c r="Y41" s="8"/>
    </row>
    <row r="42" spans="1:25" x14ac:dyDescent="0.2">
      <c r="H42" s="17" t="s">
        <v>629</v>
      </c>
      <c r="I42" s="17">
        <v>0</v>
      </c>
      <c r="J42" s="17" t="s">
        <v>608</v>
      </c>
      <c r="K42" s="17">
        <f t="shared" si="5"/>
        <v>0</v>
      </c>
      <c r="L42" s="17">
        <v>0</v>
      </c>
      <c r="M42" s="17" t="str">
        <f t="shared" si="4"/>
        <v/>
      </c>
      <c r="N42" s="17" t="s">
        <v>35</v>
      </c>
      <c r="O42" s="16"/>
      <c r="P42" s="44"/>
      <c r="Q42" s="40">
        <f t="shared" si="1"/>
        <v>0</v>
      </c>
      <c r="S42" s="8"/>
      <c r="T42" s="8"/>
      <c r="U42" s="8"/>
      <c r="V42" s="8"/>
      <c r="W42" s="8"/>
      <c r="X42" s="8"/>
      <c r="Y42" s="8"/>
    </row>
    <row r="43" spans="1:25" x14ac:dyDescent="0.2">
      <c r="H43" s="17" t="s">
        <v>630</v>
      </c>
      <c r="I43" s="17">
        <v>0</v>
      </c>
      <c r="J43" s="17" t="s">
        <v>602</v>
      </c>
      <c r="K43" s="17">
        <f t="shared" si="5"/>
        <v>0</v>
      </c>
      <c r="L43" s="17">
        <v>0</v>
      </c>
      <c r="M43" s="17" t="str">
        <f t="shared" si="4"/>
        <v/>
      </c>
      <c r="N43" s="17" t="s">
        <v>34</v>
      </c>
      <c r="O43" s="16"/>
      <c r="P43" s="44">
        <v>9000</v>
      </c>
      <c r="Q43" s="40">
        <f t="shared" si="1"/>
        <v>0</v>
      </c>
      <c r="S43" s="8"/>
      <c r="T43" s="8"/>
      <c r="U43" s="8"/>
      <c r="V43" s="8"/>
      <c r="W43" s="8"/>
      <c r="X43" s="8"/>
      <c r="Y43" s="8"/>
    </row>
    <row r="44" spans="1:25" x14ac:dyDescent="0.2">
      <c r="H44" s="17" t="s">
        <v>638</v>
      </c>
      <c r="I44" s="17">
        <v>850</v>
      </c>
      <c r="J44" s="17" t="s">
        <v>612</v>
      </c>
      <c r="K44" s="17">
        <f t="shared" si="5"/>
        <v>850</v>
      </c>
      <c r="L44" s="17">
        <v>20</v>
      </c>
      <c r="M44" s="17" t="str">
        <f t="shared" si="4"/>
        <v/>
      </c>
      <c r="N44" s="17" t="s">
        <v>35</v>
      </c>
      <c r="O44" s="16"/>
      <c r="P44" s="44">
        <v>35</v>
      </c>
      <c r="Q44" s="40">
        <f t="shared" si="1"/>
        <v>29750</v>
      </c>
      <c r="S44" s="8"/>
      <c r="T44" s="8"/>
      <c r="U44" s="8"/>
      <c r="V44" s="8"/>
      <c r="W44" s="8"/>
      <c r="X44" s="8"/>
      <c r="Y44" s="8"/>
    </row>
    <row r="45" spans="1:25" x14ac:dyDescent="0.2">
      <c r="H45" s="17" t="s">
        <v>639</v>
      </c>
      <c r="I45" s="17">
        <v>5</v>
      </c>
      <c r="J45" s="17" t="s">
        <v>640</v>
      </c>
      <c r="K45" s="17">
        <f t="shared" si="5"/>
        <v>5</v>
      </c>
      <c r="L45" s="17">
        <v>5</v>
      </c>
      <c r="M45" s="17"/>
      <c r="N45" s="17" t="s">
        <v>35</v>
      </c>
      <c r="O45" s="16"/>
      <c r="P45" s="44">
        <v>300</v>
      </c>
      <c r="Q45" s="40">
        <f t="shared" si="1"/>
        <v>1500</v>
      </c>
      <c r="S45" s="8"/>
      <c r="T45" s="8"/>
      <c r="U45" s="8"/>
      <c r="V45" s="8"/>
      <c r="W45" s="8"/>
      <c r="X45" s="8"/>
      <c r="Y45" s="8"/>
    </row>
    <row r="46" spans="1:25" x14ac:dyDescent="0.2">
      <c r="H46" s="17" t="s">
        <v>641</v>
      </c>
      <c r="I46" s="17">
        <v>0</v>
      </c>
      <c r="J46" s="17" t="s">
        <v>642</v>
      </c>
      <c r="K46" s="17">
        <f t="shared" si="5"/>
        <v>0</v>
      </c>
      <c r="L46" s="17">
        <v>1</v>
      </c>
      <c r="M46" s="17"/>
      <c r="N46" s="17" t="s">
        <v>34</v>
      </c>
      <c r="O46" s="16"/>
      <c r="P46" s="44">
        <v>4500</v>
      </c>
      <c r="Q46" s="40">
        <f t="shared" si="1"/>
        <v>0</v>
      </c>
      <c r="S46" s="8"/>
      <c r="T46" s="8"/>
      <c r="U46" s="8"/>
      <c r="V46" s="8"/>
      <c r="W46" s="8"/>
      <c r="X46" s="8"/>
      <c r="Y46" s="8"/>
    </row>
    <row r="47" spans="1:25" x14ac:dyDescent="0.2">
      <c r="H47" s="50"/>
      <c r="I47" s="17"/>
      <c r="J47" s="17"/>
      <c r="K47" s="17"/>
      <c r="L47" s="17"/>
      <c r="M47" s="17"/>
      <c r="N47" s="17"/>
      <c r="O47" s="16"/>
      <c r="P47" s="44"/>
      <c r="Q47" s="40">
        <f t="shared" si="1"/>
        <v>0</v>
      </c>
      <c r="S47" s="8"/>
      <c r="T47" s="8"/>
      <c r="U47" s="8"/>
      <c r="V47" s="8"/>
      <c r="W47" s="8"/>
      <c r="X47" s="8"/>
      <c r="Y47" s="8"/>
    </row>
    <row r="48" spans="1:25" x14ac:dyDescent="0.2">
      <c r="H48" s="50"/>
      <c r="I48" s="17"/>
      <c r="J48" s="17"/>
      <c r="K48" s="17"/>
      <c r="L48" s="17"/>
      <c r="M48" s="17"/>
      <c r="N48" s="17"/>
      <c r="O48" s="16"/>
      <c r="P48" s="44"/>
      <c r="Q48" s="40">
        <f t="shared" si="1"/>
        <v>0</v>
      </c>
      <c r="S48" s="8"/>
      <c r="T48" s="8"/>
      <c r="U48" s="8"/>
      <c r="V48" s="8"/>
      <c r="W48" s="8"/>
      <c r="X48" s="8"/>
      <c r="Y48" s="8"/>
    </row>
    <row r="49" spans="8:23" x14ac:dyDescent="0.2">
      <c r="H49" s="50"/>
      <c r="I49" s="17"/>
      <c r="J49" s="17"/>
      <c r="K49" s="17"/>
      <c r="L49" s="17"/>
      <c r="M49" s="17"/>
      <c r="N49" s="17"/>
      <c r="O49" s="16"/>
      <c r="P49" s="44"/>
      <c r="Q49" s="40">
        <f t="shared" si="1"/>
        <v>0</v>
      </c>
      <c r="S49" s="8"/>
      <c r="T49" s="8"/>
      <c r="U49" s="8"/>
      <c r="V49" s="8"/>
      <c r="W49" s="8"/>
    </row>
    <row r="50" spans="8:23" x14ac:dyDescent="0.2">
      <c r="H50" s="50"/>
      <c r="I50" s="17"/>
      <c r="J50" s="17"/>
      <c r="K50" s="17"/>
      <c r="L50" s="17"/>
      <c r="M50" s="17"/>
      <c r="N50" s="17"/>
      <c r="O50" s="16"/>
      <c r="P50" s="44"/>
      <c r="Q50" s="40">
        <f t="shared" si="1"/>
        <v>0</v>
      </c>
      <c r="S50" s="8"/>
      <c r="T50" s="8"/>
      <c r="U50" s="8"/>
      <c r="V50" s="8"/>
      <c r="W50" s="8"/>
    </row>
    <row r="51" spans="8:23" x14ac:dyDescent="0.2">
      <c r="H51" s="50"/>
      <c r="I51" s="17"/>
      <c r="J51" s="17"/>
      <c r="K51" s="17"/>
      <c r="L51" s="17"/>
      <c r="M51" s="17"/>
      <c r="N51" s="17"/>
      <c r="O51" s="16"/>
      <c r="P51" s="44"/>
      <c r="Q51" s="40">
        <f t="shared" si="1"/>
        <v>0</v>
      </c>
      <c r="S51" s="8"/>
      <c r="T51" s="8"/>
      <c r="U51" s="8"/>
      <c r="V51" s="8"/>
      <c r="W51" s="8"/>
    </row>
    <row r="52" spans="8:23" x14ac:dyDescent="0.2">
      <c r="H52" s="50"/>
      <c r="I52" s="17"/>
      <c r="J52" s="17"/>
      <c r="K52" s="17"/>
      <c r="L52" s="17"/>
      <c r="M52" s="17"/>
      <c r="N52" s="17"/>
      <c r="O52" s="16"/>
      <c r="P52" s="44"/>
      <c r="Q52" s="40">
        <f t="shared" si="1"/>
        <v>0</v>
      </c>
      <c r="S52" s="8"/>
      <c r="T52" s="8"/>
      <c r="U52" s="8"/>
      <c r="V52" s="8"/>
      <c r="W52" s="8"/>
    </row>
    <row r="53" spans="8:23" x14ac:dyDescent="0.2">
      <c r="H53" s="50"/>
      <c r="I53" s="17"/>
      <c r="J53" s="17"/>
      <c r="K53" s="17"/>
      <c r="L53" s="17"/>
      <c r="M53" s="17"/>
      <c r="N53" s="17"/>
      <c r="O53" s="16"/>
      <c r="P53" s="44"/>
      <c r="Q53" s="40">
        <f t="shared" si="1"/>
        <v>0</v>
      </c>
      <c r="S53" s="8"/>
      <c r="T53" s="8"/>
      <c r="U53" s="8"/>
      <c r="V53" s="8"/>
      <c r="W53" s="8"/>
    </row>
    <row r="54" spans="8:23" x14ac:dyDescent="0.2">
      <c r="H54" s="50"/>
      <c r="I54" s="17"/>
      <c r="J54" s="17"/>
      <c r="K54" s="17"/>
      <c r="L54" s="17"/>
      <c r="M54" s="17"/>
      <c r="N54" s="17"/>
      <c r="O54" s="16"/>
      <c r="P54" s="44"/>
      <c r="Q54" s="40">
        <f t="shared" si="1"/>
        <v>0</v>
      </c>
      <c r="S54" s="8"/>
      <c r="T54" s="8"/>
      <c r="U54" s="8"/>
      <c r="V54" s="8"/>
      <c r="W54" s="8"/>
    </row>
    <row r="55" spans="8:23" x14ac:dyDescent="0.2">
      <c r="H55" s="50"/>
      <c r="I55" s="17"/>
      <c r="J55" s="17"/>
      <c r="K55" s="17"/>
      <c r="L55" s="17"/>
      <c r="M55" s="17"/>
      <c r="N55" s="17"/>
      <c r="O55" s="16"/>
      <c r="P55" s="44"/>
      <c r="Q55" s="40">
        <f t="shared" si="1"/>
        <v>0</v>
      </c>
      <c r="S55" s="8"/>
      <c r="T55" s="8"/>
      <c r="U55" s="8"/>
      <c r="V55" s="8"/>
      <c r="W55" s="8"/>
    </row>
    <row r="56" spans="8:23" x14ac:dyDescent="0.2">
      <c r="H56" s="50"/>
      <c r="I56" s="17"/>
      <c r="J56" s="17"/>
      <c r="K56" s="17"/>
      <c r="L56" s="17"/>
      <c r="M56" s="17"/>
      <c r="N56" s="17"/>
      <c r="O56" s="16"/>
      <c r="P56" s="44"/>
      <c r="Q56" s="40">
        <f t="shared" si="1"/>
        <v>0</v>
      </c>
      <c r="S56" s="8"/>
      <c r="T56" s="8"/>
      <c r="U56" s="8"/>
      <c r="V56" s="8"/>
      <c r="W56" s="8"/>
    </row>
    <row r="57" spans="8:23" x14ac:dyDescent="0.2">
      <c r="H57" s="50"/>
      <c r="I57" s="17"/>
      <c r="J57" s="17"/>
      <c r="K57" s="17"/>
      <c r="L57" s="17"/>
      <c r="M57" s="17"/>
      <c r="N57" s="17"/>
      <c r="O57" s="16"/>
      <c r="P57" s="44"/>
      <c r="Q57" s="40">
        <f t="shared" si="1"/>
        <v>0</v>
      </c>
      <c r="S57" s="8"/>
      <c r="T57" s="8"/>
      <c r="U57" s="8"/>
      <c r="V57" s="8"/>
      <c r="W57" s="8"/>
    </row>
    <row r="58" spans="8:23" x14ac:dyDescent="0.2">
      <c r="H58" s="50"/>
      <c r="I58" s="17"/>
      <c r="J58" s="17"/>
      <c r="K58" s="17"/>
      <c r="L58" s="17"/>
      <c r="M58" s="17"/>
      <c r="N58" s="17"/>
      <c r="O58" s="16"/>
      <c r="P58" s="44"/>
      <c r="Q58" s="40">
        <f t="shared" si="1"/>
        <v>0</v>
      </c>
      <c r="S58" s="8"/>
      <c r="T58" s="8"/>
      <c r="U58" s="8"/>
      <c r="V58" s="8"/>
      <c r="W58" s="8"/>
    </row>
    <row r="59" spans="8:23" x14ac:dyDescent="0.2">
      <c r="H59" s="50"/>
      <c r="I59" s="17"/>
      <c r="J59" s="17"/>
      <c r="K59" s="17"/>
      <c r="L59" s="17"/>
      <c r="M59" s="17"/>
      <c r="N59" s="17"/>
      <c r="O59" s="16"/>
      <c r="P59" s="44"/>
      <c r="Q59" s="40">
        <f t="shared" si="1"/>
        <v>0</v>
      </c>
      <c r="S59" s="8"/>
      <c r="T59" s="8"/>
      <c r="U59" s="8"/>
      <c r="V59" s="8"/>
      <c r="W59" s="8"/>
    </row>
    <row r="60" spans="8:23" x14ac:dyDescent="0.2">
      <c r="H60" s="50"/>
      <c r="I60" s="17"/>
      <c r="J60" s="17"/>
      <c r="K60" s="17"/>
      <c r="L60" s="17"/>
      <c r="M60" s="17"/>
      <c r="N60" s="17"/>
      <c r="O60" s="16"/>
      <c r="P60" s="44"/>
      <c r="Q60" s="40">
        <f t="shared" si="1"/>
        <v>0</v>
      </c>
      <c r="S60" s="8"/>
      <c r="T60" s="8"/>
      <c r="U60" s="8"/>
      <c r="V60" s="8"/>
      <c r="W60" s="8"/>
    </row>
    <row r="61" spans="8:23" x14ac:dyDescent="0.2">
      <c r="H61" s="50"/>
      <c r="I61" s="17"/>
      <c r="J61" s="17"/>
      <c r="K61" s="17"/>
      <c r="L61" s="17"/>
      <c r="M61" s="17"/>
      <c r="N61" s="17"/>
      <c r="O61" s="16"/>
      <c r="P61" s="44"/>
      <c r="Q61" s="40">
        <f t="shared" si="1"/>
        <v>0</v>
      </c>
    </row>
    <row r="62" spans="8:23" x14ac:dyDescent="0.2">
      <c r="H62" s="50"/>
      <c r="I62" s="17"/>
      <c r="J62" s="17"/>
      <c r="K62" s="17"/>
      <c r="L62" s="17"/>
      <c r="M62" s="17"/>
      <c r="N62" s="17"/>
      <c r="O62" s="16"/>
      <c r="P62" s="44"/>
      <c r="Q62" s="40">
        <f t="shared" si="1"/>
        <v>0</v>
      </c>
    </row>
    <row r="63" spans="8:23" x14ac:dyDescent="0.2">
      <c r="H63" s="50"/>
      <c r="I63" s="17"/>
      <c r="J63" s="17"/>
      <c r="K63" s="17"/>
      <c r="L63" s="17"/>
      <c r="M63" s="17"/>
      <c r="N63" s="17"/>
      <c r="O63" s="16"/>
      <c r="P63" s="44"/>
      <c r="Q63" s="40">
        <f t="shared" si="1"/>
        <v>0</v>
      </c>
    </row>
    <row r="64" spans="8:23" x14ac:dyDescent="0.2">
      <c r="H64" s="50"/>
      <c r="I64" s="17"/>
      <c r="J64" s="17"/>
      <c r="K64" s="17"/>
      <c r="L64" s="17"/>
      <c r="M64" s="17"/>
      <c r="N64" s="17"/>
      <c r="O64" s="16"/>
      <c r="P64" s="44"/>
      <c r="Q64" s="40">
        <f t="shared" si="1"/>
        <v>0</v>
      </c>
    </row>
    <row r="65" spans="8:17" x14ac:dyDescent="0.2">
      <c r="H65" s="50"/>
      <c r="I65" s="17"/>
      <c r="J65" s="17"/>
      <c r="K65" s="17"/>
      <c r="L65" s="17"/>
      <c r="M65" s="17"/>
      <c r="N65" s="17"/>
      <c r="O65" s="16"/>
      <c r="P65" s="44"/>
      <c r="Q65" s="40">
        <f t="shared" si="1"/>
        <v>0</v>
      </c>
    </row>
    <row r="66" spans="8:17" x14ac:dyDescent="0.2">
      <c r="H66" s="50"/>
      <c r="I66" s="17"/>
      <c r="J66" s="17"/>
      <c r="K66" s="17"/>
      <c r="L66" s="17"/>
      <c r="M66" s="17"/>
      <c r="N66" s="17"/>
      <c r="O66" s="16"/>
      <c r="P66" s="44"/>
      <c r="Q66" s="40">
        <f t="shared" si="1"/>
        <v>0</v>
      </c>
    </row>
    <row r="67" spans="8:17" x14ac:dyDescent="0.2">
      <c r="H67" s="50"/>
      <c r="I67" s="17"/>
      <c r="J67" s="17"/>
      <c r="K67" s="17"/>
      <c r="L67" s="17"/>
      <c r="M67" s="17"/>
      <c r="N67" s="17"/>
      <c r="O67" s="16"/>
      <c r="P67" s="44"/>
      <c r="Q67" s="40">
        <f t="shared" si="1"/>
        <v>0</v>
      </c>
    </row>
    <row r="68" spans="8:17" x14ac:dyDescent="0.2">
      <c r="H68" s="50"/>
      <c r="I68" s="17"/>
      <c r="J68" s="17"/>
      <c r="K68" s="17"/>
      <c r="L68" s="17"/>
      <c r="M68" s="17"/>
      <c r="N68" s="17"/>
      <c r="O68" s="16"/>
      <c r="P68" s="44"/>
      <c r="Q68" s="40">
        <f t="shared" si="1"/>
        <v>0</v>
      </c>
    </row>
    <row r="69" spans="8:17" x14ac:dyDescent="0.2">
      <c r="H69" s="50"/>
      <c r="I69" s="17"/>
      <c r="J69" s="17"/>
      <c r="K69" s="17"/>
      <c r="L69" s="17"/>
      <c r="M69" s="17"/>
      <c r="N69" s="17"/>
      <c r="O69" s="16"/>
      <c r="P69" s="44"/>
      <c r="Q69" s="40">
        <f t="shared" si="1"/>
        <v>0</v>
      </c>
    </row>
    <row r="70" spans="8:17" x14ac:dyDescent="0.2">
      <c r="H70" s="50"/>
      <c r="I70" s="17"/>
      <c r="J70" s="17"/>
      <c r="K70" s="17"/>
      <c r="L70" s="17"/>
      <c r="M70" s="17"/>
      <c r="N70" s="17"/>
      <c r="O70" s="16"/>
      <c r="P70" s="44"/>
      <c r="Q70" s="40">
        <f t="shared" si="1"/>
        <v>0</v>
      </c>
    </row>
    <row r="71" spans="8:17" x14ac:dyDescent="0.2">
      <c r="H71" s="50"/>
      <c r="I71" s="17"/>
      <c r="J71" s="17"/>
      <c r="K71" s="17"/>
      <c r="L71" s="17"/>
      <c r="M71" s="17"/>
      <c r="N71" s="17"/>
      <c r="O71" s="16"/>
      <c r="P71" s="44"/>
      <c r="Q71" s="40">
        <f t="shared" ref="Q71" si="6">K71*P71</f>
        <v>0</v>
      </c>
    </row>
    <row r="72" spans="8:17" x14ac:dyDescent="0.2">
      <c r="Q72" s="54">
        <f>SUBTOTAL(9,Q6:Q43)</f>
        <v>106439.8</v>
      </c>
    </row>
  </sheetData>
  <autoFilter ref="K1:K72" xr:uid="{F2EEC521-EB87-7844-BA46-E5C97BEBACD4}"/>
  <mergeCells count="12">
    <mergeCell ref="P3:P4"/>
    <mergeCell ref="Q3:Q4"/>
    <mergeCell ref="A1:R1"/>
    <mergeCell ref="A3:C3"/>
    <mergeCell ref="D3:F3"/>
    <mergeCell ref="H3:H4"/>
    <mergeCell ref="I3:I4"/>
    <mergeCell ref="J3:K3"/>
    <mergeCell ref="L3:L4"/>
    <mergeCell ref="M3:M4"/>
    <mergeCell ref="N3:N4"/>
    <mergeCell ref="O3:O4"/>
  </mergeCells>
  <phoneticPr fontId="3" type="noConversion"/>
  <conditionalFormatting sqref="M5:N71 R19:R37 P34 P39:P43 P45:P71">
    <cfRule type="containsText" dxfId="5" priority="5" operator="containsText" text="Place Order">
      <formula>NOT(ISERROR(SEARCH("Place Order",M5)))</formula>
    </cfRule>
  </conditionalFormatting>
  <conditionalFormatting sqref="O5:O27 O29:O71">
    <cfRule type="expression" dxfId="4" priority="2" stopIfTrue="1">
      <formula>$O5&gt;TODAY()+90</formula>
    </cfRule>
    <cfRule type="expression" dxfId="3" priority="3" stopIfTrue="1">
      <formula>$O5&lt;TODAY()</formula>
    </cfRule>
    <cfRule type="expression" dxfId="2" priority="4" stopIfTrue="1">
      <formula>OR($O5&gt;=TODAY(),$O5&lt;=TODAY()+90)</formula>
    </cfRule>
  </conditionalFormatting>
  <conditionalFormatting sqref="P37">
    <cfRule type="containsText" dxfId="1" priority="1" operator="containsText" text="Place Order">
      <formula>NOT(ISERROR(SEARCH("Place Order",P37)))</formula>
    </cfRule>
  </conditionalFormatting>
  <dataValidations count="2">
    <dataValidation type="list" allowBlank="1" showInputMessage="1" showErrorMessage="1" sqref="B1:B4 B70:B1048576" xr:uid="{13788474-5BB3-6148-8DD2-0EB2A7D53D39}">
      <formula1>$J$5:$J$71</formula1>
    </dataValidation>
    <dataValidation type="list" allowBlank="1" showInputMessage="1" showErrorMessage="1" sqref="E5:E47 B5:B69" xr:uid="{1F405F64-FA20-F241-9250-CCC0D37D6D10}">
      <formula1>$J$5:$J$46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9274-B06E-8A4D-A010-144AE2B669A2}">
  <dimension ref="A1:U35"/>
  <sheetViews>
    <sheetView zoomScale="170" zoomScaleNormal="170" workbookViewId="0">
      <pane ySplit="4" topLeftCell="A5" activePane="bottomLeft" state="frozen"/>
      <selection activeCell="S22" sqref="S22"/>
      <selection pane="bottomLeft" activeCell="J37" sqref="J37"/>
    </sheetView>
  </sheetViews>
  <sheetFormatPr baseColWidth="10" defaultColWidth="9.1640625" defaultRowHeight="14" x14ac:dyDescent="0.2"/>
  <cols>
    <col min="1" max="1" width="12.5" style="1" bestFit="1" customWidth="1"/>
    <col min="2" max="2" width="16" style="1" bestFit="1" customWidth="1"/>
    <col min="3" max="3" width="9.5" style="1" bestFit="1" customWidth="1"/>
    <col min="4" max="4" width="10.1640625" style="1" bestFit="1" customWidth="1"/>
    <col min="5" max="5" width="16" style="1" bestFit="1" customWidth="1"/>
    <col min="6" max="6" width="8.83203125" style="1" customWidth="1"/>
    <col min="7" max="7" width="3.5" style="1" customWidth="1"/>
    <col min="8" max="8" width="11.5" style="1" bestFit="1" customWidth="1"/>
    <col min="9" max="9" width="9.5" style="1" customWidth="1"/>
    <col min="10" max="10" width="18.83203125" style="1" bestFit="1" customWidth="1"/>
    <col min="11" max="11" width="9.5" style="1" bestFit="1" customWidth="1"/>
    <col min="12" max="13" width="5.83203125" style="1" customWidth="1"/>
    <col min="14" max="14" width="11.5" style="1" bestFit="1" customWidth="1"/>
    <col min="15" max="15" width="9.1640625" style="1"/>
    <col min="16" max="16" width="9.5" style="1" bestFit="1" customWidth="1"/>
    <col min="17" max="17" width="10" style="1" bestFit="1" customWidth="1"/>
    <col min="18" max="20" width="9.1640625" style="1"/>
    <col min="21" max="21" width="11.33203125" style="1" bestFit="1" customWidth="1"/>
    <col min="22" max="16384" width="9.1640625" style="1"/>
  </cols>
  <sheetData>
    <row r="1" spans="1:21" x14ac:dyDescent="0.2">
      <c r="A1" s="78" t="s">
        <v>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"/>
      <c r="M1" s="7"/>
      <c r="N1" s="7"/>
      <c r="O1" s="8" t="s">
        <v>15</v>
      </c>
      <c r="P1" s="9" t="s">
        <v>11</v>
      </c>
      <c r="Q1" s="9" t="s">
        <v>11</v>
      </c>
      <c r="R1" s="5"/>
      <c r="S1" s="5"/>
      <c r="T1" s="5"/>
    </row>
    <row r="2" spans="1:21" x14ac:dyDescent="0.2">
      <c r="A2" s="61" t="s">
        <v>631</v>
      </c>
      <c r="B2" s="62"/>
      <c r="C2" s="62" t="s">
        <v>0</v>
      </c>
      <c r="D2" s="63">
        <f ca="1">TODAY()</f>
        <v>45828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4"/>
    </row>
    <row r="3" spans="1:21" ht="14" customHeight="1" x14ac:dyDescent="0.2">
      <c r="A3" s="105" t="s">
        <v>8</v>
      </c>
      <c r="B3" s="105"/>
      <c r="C3" s="105"/>
      <c r="D3" s="106" t="s">
        <v>9</v>
      </c>
      <c r="E3" s="106"/>
      <c r="F3" s="106"/>
      <c r="G3" s="67"/>
      <c r="H3" s="107" t="s">
        <v>21</v>
      </c>
      <c r="I3" s="104" t="s">
        <v>12</v>
      </c>
      <c r="J3" s="108" t="s">
        <v>10</v>
      </c>
      <c r="K3" s="108"/>
      <c r="L3" s="104" t="s">
        <v>32</v>
      </c>
      <c r="M3" s="104" t="s">
        <v>253</v>
      </c>
      <c r="N3" s="104" t="s">
        <v>540</v>
      </c>
      <c r="O3" s="61" t="s">
        <v>14</v>
      </c>
      <c r="P3" s="62"/>
      <c r="Q3" s="62"/>
      <c r="R3" s="64"/>
    </row>
    <row r="4" spans="1:21" ht="18" customHeight="1" x14ac:dyDescent="0.2">
      <c r="A4" s="65" t="s">
        <v>0</v>
      </c>
      <c r="B4" s="65" t="s">
        <v>2</v>
      </c>
      <c r="C4" s="65" t="s">
        <v>1</v>
      </c>
      <c r="D4" s="66" t="s">
        <v>0</v>
      </c>
      <c r="E4" s="66" t="s">
        <v>2</v>
      </c>
      <c r="F4" s="66" t="s">
        <v>1</v>
      </c>
      <c r="G4" s="67"/>
      <c r="H4" s="107"/>
      <c r="I4" s="104"/>
      <c r="J4" s="68" t="s">
        <v>2</v>
      </c>
      <c r="K4" s="68" t="s">
        <v>1</v>
      </c>
      <c r="L4" s="104"/>
      <c r="M4" s="104"/>
      <c r="N4" s="104"/>
      <c r="O4" s="62"/>
      <c r="P4" s="69">
        <v>45320</v>
      </c>
      <c r="Q4" s="69"/>
      <c r="R4" s="69"/>
      <c r="S4" s="15"/>
      <c r="T4" s="15"/>
      <c r="U4" s="15" t="s">
        <v>6</v>
      </c>
    </row>
    <row r="5" spans="1:21" x14ac:dyDescent="0.2">
      <c r="A5" s="70">
        <v>45629</v>
      </c>
      <c r="B5" s="71" t="s">
        <v>431</v>
      </c>
      <c r="C5" s="71"/>
      <c r="D5" s="70">
        <v>45629</v>
      </c>
      <c r="E5" s="71" t="s">
        <v>431</v>
      </c>
      <c r="F5" s="71"/>
      <c r="G5" s="71"/>
      <c r="H5" s="71" t="s">
        <v>402</v>
      </c>
      <c r="I5" s="71">
        <v>0</v>
      </c>
      <c r="J5" s="71" t="s">
        <v>418</v>
      </c>
      <c r="K5" s="71">
        <f t="shared" ref="K5:K34" si="0">I5+SUMIF($B$5:$B$182,J5,$C$5:$C$182)-SUMIF($E$5:$E$182,J5,$F$5:$F$182)</f>
        <v>0</v>
      </c>
      <c r="L5" s="71" t="s">
        <v>435</v>
      </c>
      <c r="M5" s="71">
        <v>100</v>
      </c>
      <c r="N5" s="72">
        <f t="shared" ref="N5:N34" si="1">K5*M5</f>
        <v>0</v>
      </c>
      <c r="O5" s="73"/>
      <c r="P5" s="71"/>
      <c r="Q5" s="71"/>
      <c r="R5" s="74"/>
      <c r="S5" s="2"/>
      <c r="T5" s="2"/>
      <c r="U5" s="17">
        <f>SUMIF($P$1:$T$1,"T",P5:T5)</f>
        <v>0</v>
      </c>
    </row>
    <row r="6" spans="1:21" x14ac:dyDescent="0.2">
      <c r="A6" s="70"/>
      <c r="B6" s="71"/>
      <c r="C6" s="71"/>
      <c r="D6" s="70"/>
      <c r="E6" s="71"/>
      <c r="F6" s="71"/>
      <c r="G6" s="71"/>
      <c r="H6" s="71" t="s">
        <v>403</v>
      </c>
      <c r="I6" s="71">
        <v>102</v>
      </c>
      <c r="J6" s="71" t="s">
        <v>419</v>
      </c>
      <c r="K6" s="71">
        <f t="shared" si="0"/>
        <v>102</v>
      </c>
      <c r="L6" s="71" t="s">
        <v>435</v>
      </c>
      <c r="M6" s="71">
        <v>100</v>
      </c>
      <c r="N6" s="72">
        <f t="shared" si="1"/>
        <v>10200</v>
      </c>
      <c r="O6" s="62"/>
      <c r="P6" s="71"/>
      <c r="Q6" s="71"/>
      <c r="R6" s="74"/>
      <c r="S6" s="2"/>
      <c r="T6" s="2"/>
      <c r="U6" s="17">
        <f t="shared" ref="U6:U20" si="2">SUMIF($P$1:$T$1,"T",P6:T6)</f>
        <v>0</v>
      </c>
    </row>
    <row r="7" spans="1:21" x14ac:dyDescent="0.2">
      <c r="A7" s="70"/>
      <c r="B7" s="71"/>
      <c r="C7" s="71"/>
      <c r="D7" s="70"/>
      <c r="E7" s="71"/>
      <c r="F7" s="71"/>
      <c r="G7" s="71"/>
      <c r="H7" s="71" t="s">
        <v>404</v>
      </c>
      <c r="I7" s="71">
        <v>0</v>
      </c>
      <c r="J7" s="71" t="s">
        <v>420</v>
      </c>
      <c r="K7" s="71">
        <f t="shared" si="0"/>
        <v>0</v>
      </c>
      <c r="L7" s="71" t="s">
        <v>435</v>
      </c>
      <c r="M7" s="71">
        <v>100</v>
      </c>
      <c r="N7" s="72">
        <f t="shared" si="1"/>
        <v>0</v>
      </c>
      <c r="O7" s="62"/>
      <c r="P7" s="71"/>
      <c r="Q7" s="71"/>
      <c r="R7" s="74"/>
      <c r="S7" s="2"/>
      <c r="T7" s="2"/>
      <c r="U7" s="17">
        <f t="shared" si="2"/>
        <v>0</v>
      </c>
    </row>
    <row r="8" spans="1:21" x14ac:dyDescent="0.2">
      <c r="A8" s="70"/>
      <c r="B8" s="71"/>
      <c r="C8" s="71"/>
      <c r="D8" s="70"/>
      <c r="E8" s="71"/>
      <c r="F8" s="71"/>
      <c r="G8" s="71"/>
      <c r="H8" s="71" t="s">
        <v>405</v>
      </c>
      <c r="I8" s="71">
        <v>2</v>
      </c>
      <c r="J8" s="71" t="s">
        <v>436</v>
      </c>
      <c r="K8" s="71">
        <f t="shared" si="0"/>
        <v>2</v>
      </c>
      <c r="L8" s="71" t="s">
        <v>435</v>
      </c>
      <c r="M8" s="71">
        <v>300</v>
      </c>
      <c r="N8" s="72">
        <f t="shared" si="1"/>
        <v>600</v>
      </c>
      <c r="O8" s="62"/>
      <c r="P8" s="71"/>
      <c r="Q8" s="71"/>
      <c r="R8" s="74"/>
      <c r="S8" s="2"/>
      <c r="T8" s="2"/>
      <c r="U8" s="17">
        <f t="shared" si="2"/>
        <v>0</v>
      </c>
    </row>
    <row r="9" spans="1:21" x14ac:dyDescent="0.2">
      <c r="A9" s="70"/>
      <c r="B9" s="71"/>
      <c r="C9" s="71"/>
      <c r="D9" s="70"/>
      <c r="E9" s="71"/>
      <c r="F9" s="71"/>
      <c r="G9" s="71"/>
      <c r="H9" s="71" t="s">
        <v>406</v>
      </c>
      <c r="I9" s="71">
        <v>2</v>
      </c>
      <c r="J9" s="71" t="s">
        <v>421</v>
      </c>
      <c r="K9" s="71">
        <f t="shared" si="0"/>
        <v>2</v>
      </c>
      <c r="L9" s="71" t="s">
        <v>435</v>
      </c>
      <c r="M9" s="71">
        <v>300</v>
      </c>
      <c r="N9" s="72">
        <f t="shared" si="1"/>
        <v>600</v>
      </c>
      <c r="O9" s="62"/>
      <c r="P9" s="71"/>
      <c r="Q9" s="71"/>
      <c r="R9" s="74"/>
      <c r="S9" s="2"/>
      <c r="T9" s="2"/>
      <c r="U9" s="17">
        <f t="shared" si="2"/>
        <v>0</v>
      </c>
    </row>
    <row r="10" spans="1:21" x14ac:dyDescent="0.2">
      <c r="A10" s="70"/>
      <c r="B10" s="71"/>
      <c r="C10" s="71"/>
      <c r="D10" s="70"/>
      <c r="E10" s="71"/>
      <c r="F10" s="71"/>
      <c r="G10" s="71"/>
      <c r="H10" s="71" t="s">
        <v>407</v>
      </c>
      <c r="I10" s="71">
        <v>280</v>
      </c>
      <c r="J10" s="71" t="s">
        <v>422</v>
      </c>
      <c r="K10" s="71">
        <f t="shared" si="0"/>
        <v>280</v>
      </c>
      <c r="L10" s="71" t="s">
        <v>435</v>
      </c>
      <c r="M10" s="71">
        <v>100</v>
      </c>
      <c r="N10" s="72">
        <f t="shared" si="1"/>
        <v>28000</v>
      </c>
      <c r="O10" s="62"/>
      <c r="P10" s="71"/>
      <c r="Q10" s="71"/>
      <c r="R10" s="74"/>
      <c r="S10" s="2"/>
      <c r="T10" s="2"/>
      <c r="U10" s="17">
        <f t="shared" si="2"/>
        <v>0</v>
      </c>
    </row>
    <row r="11" spans="1:21" x14ac:dyDescent="0.2">
      <c r="A11" s="70"/>
      <c r="B11" s="71"/>
      <c r="C11" s="71"/>
      <c r="D11" s="70"/>
      <c r="E11" s="71"/>
      <c r="F11" s="71"/>
      <c r="G11" s="71"/>
      <c r="H11" s="71" t="s">
        <v>408</v>
      </c>
      <c r="I11" s="71">
        <v>2</v>
      </c>
      <c r="J11" s="71" t="s">
        <v>423</v>
      </c>
      <c r="K11" s="71">
        <f t="shared" si="0"/>
        <v>2</v>
      </c>
      <c r="L11" s="71" t="s">
        <v>435</v>
      </c>
      <c r="M11" s="71">
        <v>300</v>
      </c>
      <c r="N11" s="72">
        <f t="shared" si="1"/>
        <v>600</v>
      </c>
      <c r="O11" s="62"/>
      <c r="P11" s="71"/>
      <c r="Q11" s="71"/>
      <c r="R11" s="74"/>
      <c r="S11" s="2"/>
      <c r="T11" s="2"/>
      <c r="U11" s="17">
        <f t="shared" si="2"/>
        <v>0</v>
      </c>
    </row>
    <row r="12" spans="1:21" x14ac:dyDescent="0.2">
      <c r="A12" s="70"/>
      <c r="B12" s="71"/>
      <c r="C12" s="71"/>
      <c r="D12" s="75"/>
      <c r="E12" s="71"/>
      <c r="F12" s="71"/>
      <c r="G12" s="71"/>
      <c r="H12" s="71" t="s">
        <v>409</v>
      </c>
      <c r="I12" s="71">
        <v>80</v>
      </c>
      <c r="J12" s="71" t="s">
        <v>424</v>
      </c>
      <c r="K12" s="71">
        <f t="shared" si="0"/>
        <v>80</v>
      </c>
      <c r="L12" s="71" t="s">
        <v>435</v>
      </c>
      <c r="M12" s="71">
        <v>100</v>
      </c>
      <c r="N12" s="72">
        <f t="shared" si="1"/>
        <v>8000</v>
      </c>
      <c r="O12" s="62"/>
      <c r="P12" s="71"/>
      <c r="Q12" s="71"/>
      <c r="R12" s="74"/>
      <c r="S12" s="2"/>
      <c r="T12" s="2"/>
      <c r="U12" s="17">
        <f t="shared" si="2"/>
        <v>0</v>
      </c>
    </row>
    <row r="13" spans="1:21" x14ac:dyDescent="0.2">
      <c r="A13" s="70"/>
      <c r="B13" s="71"/>
      <c r="C13" s="71"/>
      <c r="D13" s="75"/>
      <c r="E13" s="71"/>
      <c r="F13" s="71"/>
      <c r="G13" s="71"/>
      <c r="H13" s="71" t="s">
        <v>410</v>
      </c>
      <c r="I13" s="71">
        <v>15</v>
      </c>
      <c r="J13" s="71" t="s">
        <v>425</v>
      </c>
      <c r="K13" s="71">
        <f t="shared" si="0"/>
        <v>15</v>
      </c>
      <c r="L13" s="71" t="s">
        <v>435</v>
      </c>
      <c r="M13" s="71">
        <v>100</v>
      </c>
      <c r="N13" s="72">
        <f t="shared" si="1"/>
        <v>1500</v>
      </c>
      <c r="O13" s="62"/>
      <c r="P13" s="71"/>
      <c r="Q13" s="71"/>
      <c r="R13" s="74"/>
      <c r="S13" s="2"/>
      <c r="T13" s="2"/>
      <c r="U13" s="17">
        <f>SUMIF($P$1:$T$1,"T",P13:T13)</f>
        <v>0</v>
      </c>
    </row>
    <row r="14" spans="1:21" x14ac:dyDescent="0.2">
      <c r="A14" s="70"/>
      <c r="B14" s="71"/>
      <c r="C14" s="71"/>
      <c r="D14" s="75"/>
      <c r="E14" s="71"/>
      <c r="F14" s="71"/>
      <c r="G14" s="71"/>
      <c r="H14" s="71" t="s">
        <v>411</v>
      </c>
      <c r="I14" s="71">
        <v>5</v>
      </c>
      <c r="J14" s="71" t="s">
        <v>426</v>
      </c>
      <c r="K14" s="71">
        <f t="shared" si="0"/>
        <v>5</v>
      </c>
      <c r="L14" s="71" t="s">
        <v>435</v>
      </c>
      <c r="M14" s="71">
        <v>300</v>
      </c>
      <c r="N14" s="72">
        <f t="shared" si="1"/>
        <v>1500</v>
      </c>
      <c r="O14" s="62"/>
      <c r="P14" s="71"/>
      <c r="Q14" s="71"/>
      <c r="R14" s="74"/>
      <c r="S14" s="2"/>
      <c r="T14" s="2"/>
      <c r="U14" s="17">
        <f t="shared" si="2"/>
        <v>0</v>
      </c>
    </row>
    <row r="15" spans="1:21" x14ac:dyDescent="0.2">
      <c r="A15" s="70"/>
      <c r="B15" s="71"/>
      <c r="C15" s="71"/>
      <c r="D15" s="75"/>
      <c r="E15" s="71"/>
      <c r="F15" s="71"/>
      <c r="G15" s="71"/>
      <c r="H15" s="71" t="s">
        <v>412</v>
      </c>
      <c r="I15" s="71">
        <v>0</v>
      </c>
      <c r="J15" s="71" t="s">
        <v>427</v>
      </c>
      <c r="K15" s="71">
        <f t="shared" si="0"/>
        <v>0</v>
      </c>
      <c r="L15" s="71" t="s">
        <v>435</v>
      </c>
      <c r="M15" s="71">
        <v>125</v>
      </c>
      <c r="N15" s="72">
        <f t="shared" si="1"/>
        <v>0</v>
      </c>
      <c r="O15" s="62"/>
      <c r="P15" s="71"/>
      <c r="Q15" s="71"/>
      <c r="R15" s="74"/>
      <c r="S15" s="2"/>
      <c r="T15" s="2"/>
      <c r="U15" s="17">
        <f t="shared" si="2"/>
        <v>0</v>
      </c>
    </row>
    <row r="16" spans="1:21" x14ac:dyDescent="0.2">
      <c r="A16" s="70"/>
      <c r="B16" s="71"/>
      <c r="C16" s="71"/>
      <c r="D16" s="70"/>
      <c r="E16" s="71"/>
      <c r="F16" s="71"/>
      <c r="G16" s="71"/>
      <c r="H16" s="71" t="s">
        <v>413</v>
      </c>
      <c r="I16" s="71">
        <v>10</v>
      </c>
      <c r="J16" s="71" t="s">
        <v>428</v>
      </c>
      <c r="K16" s="71">
        <f t="shared" si="0"/>
        <v>10</v>
      </c>
      <c r="L16" s="71" t="s">
        <v>435</v>
      </c>
      <c r="M16" s="71">
        <v>100</v>
      </c>
      <c r="N16" s="72">
        <f t="shared" si="1"/>
        <v>1000</v>
      </c>
      <c r="O16" s="62"/>
      <c r="P16" s="71"/>
      <c r="Q16" s="71"/>
      <c r="R16" s="74"/>
      <c r="S16" s="2"/>
      <c r="T16" s="2"/>
      <c r="U16" s="17">
        <f t="shared" si="2"/>
        <v>0</v>
      </c>
    </row>
    <row r="17" spans="1:21" x14ac:dyDescent="0.2">
      <c r="A17" s="70"/>
      <c r="B17" s="71"/>
      <c r="C17" s="71"/>
      <c r="D17" s="70"/>
      <c r="E17" s="71"/>
      <c r="F17" s="71"/>
      <c r="G17" s="71"/>
      <c r="H17" s="71" t="s">
        <v>522</v>
      </c>
      <c r="I17" s="71">
        <v>0</v>
      </c>
      <c r="J17" s="71" t="s">
        <v>429</v>
      </c>
      <c r="K17" s="71">
        <f t="shared" si="0"/>
        <v>0</v>
      </c>
      <c r="L17" s="71" t="s">
        <v>435</v>
      </c>
      <c r="M17" s="71">
        <v>350</v>
      </c>
      <c r="N17" s="72">
        <f t="shared" si="1"/>
        <v>0</v>
      </c>
      <c r="O17" s="62"/>
      <c r="P17" s="71"/>
      <c r="Q17" s="71"/>
      <c r="R17" s="74"/>
      <c r="S17" s="2"/>
      <c r="T17" s="2"/>
      <c r="U17" s="17">
        <f t="shared" si="2"/>
        <v>0</v>
      </c>
    </row>
    <row r="18" spans="1:21" x14ac:dyDescent="0.2">
      <c r="A18" s="70"/>
      <c r="B18" s="71"/>
      <c r="C18" s="71"/>
      <c r="D18" s="70"/>
      <c r="E18" s="71"/>
      <c r="F18" s="71"/>
      <c r="G18" s="71"/>
      <c r="H18" s="71" t="s">
        <v>414</v>
      </c>
      <c r="I18" s="71">
        <v>700</v>
      </c>
      <c r="J18" s="71" t="s">
        <v>430</v>
      </c>
      <c r="K18" s="71">
        <f t="shared" si="0"/>
        <v>700</v>
      </c>
      <c r="L18" s="71" t="s">
        <v>435</v>
      </c>
      <c r="M18" s="71">
        <v>100</v>
      </c>
      <c r="N18" s="72">
        <f t="shared" si="1"/>
        <v>70000</v>
      </c>
      <c r="O18" s="62"/>
      <c r="P18" s="71"/>
      <c r="Q18" s="71"/>
      <c r="R18" s="74"/>
      <c r="S18" s="2"/>
      <c r="T18" s="2"/>
      <c r="U18" s="17">
        <f t="shared" si="2"/>
        <v>0</v>
      </c>
    </row>
    <row r="19" spans="1:21" x14ac:dyDescent="0.2">
      <c r="A19" s="70"/>
      <c r="B19" s="71"/>
      <c r="C19" s="71"/>
      <c r="D19" s="70"/>
      <c r="E19" s="71"/>
      <c r="F19" s="71"/>
      <c r="G19" s="71"/>
      <c r="H19" s="71" t="s">
        <v>415</v>
      </c>
      <c r="I19" s="71">
        <v>0</v>
      </c>
      <c r="J19" s="71" t="s">
        <v>431</v>
      </c>
      <c r="K19" s="71">
        <f t="shared" si="0"/>
        <v>0</v>
      </c>
      <c r="L19" s="71" t="s">
        <v>435</v>
      </c>
      <c r="M19" s="71"/>
      <c r="N19" s="72">
        <f t="shared" si="1"/>
        <v>0</v>
      </c>
      <c r="O19" s="62"/>
      <c r="P19" s="71"/>
      <c r="Q19" s="71"/>
      <c r="R19" s="74"/>
      <c r="S19" s="2"/>
      <c r="T19" s="2"/>
      <c r="U19" s="17">
        <f t="shared" si="2"/>
        <v>0</v>
      </c>
    </row>
    <row r="20" spans="1:21" x14ac:dyDescent="0.2">
      <c r="A20" s="70"/>
      <c r="B20" s="71"/>
      <c r="C20" s="71"/>
      <c r="D20" s="70"/>
      <c r="E20" s="71"/>
      <c r="F20" s="71"/>
      <c r="G20" s="71"/>
      <c r="H20" s="71" t="s">
        <v>416</v>
      </c>
      <c r="I20" s="71">
        <v>20</v>
      </c>
      <c r="J20" s="71" t="s">
        <v>432</v>
      </c>
      <c r="K20" s="71">
        <f t="shared" si="0"/>
        <v>20</v>
      </c>
      <c r="L20" s="71" t="s">
        <v>435</v>
      </c>
      <c r="M20" s="71">
        <v>100</v>
      </c>
      <c r="N20" s="72">
        <f t="shared" si="1"/>
        <v>2000</v>
      </c>
      <c r="O20" s="62"/>
      <c r="P20" s="71"/>
      <c r="Q20" s="71"/>
      <c r="R20" s="74"/>
      <c r="S20" s="2"/>
      <c r="T20" s="2"/>
      <c r="U20" s="17">
        <f t="shared" si="2"/>
        <v>0</v>
      </c>
    </row>
    <row r="21" spans="1:21" x14ac:dyDescent="0.2">
      <c r="A21" s="70"/>
      <c r="B21" s="71"/>
      <c r="C21" s="71"/>
      <c r="D21" s="70"/>
      <c r="E21" s="71"/>
      <c r="F21" s="71"/>
      <c r="G21" s="71"/>
      <c r="H21" s="71" t="s">
        <v>417</v>
      </c>
      <c r="I21" s="71">
        <v>0</v>
      </c>
      <c r="J21" s="71" t="s">
        <v>433</v>
      </c>
      <c r="K21" s="71">
        <f t="shared" si="0"/>
        <v>0</v>
      </c>
      <c r="L21" s="71" t="s">
        <v>435</v>
      </c>
      <c r="M21" s="71"/>
      <c r="N21" s="72">
        <f t="shared" si="1"/>
        <v>0</v>
      </c>
      <c r="O21" s="62"/>
      <c r="P21" s="62"/>
      <c r="Q21" s="62"/>
      <c r="R21" s="64"/>
      <c r="U21" s="8"/>
    </row>
    <row r="22" spans="1:21" x14ac:dyDescent="0.2">
      <c r="A22" s="74"/>
      <c r="B22" s="74"/>
      <c r="C22" s="74"/>
      <c r="D22" s="70"/>
      <c r="E22" s="71"/>
      <c r="F22" s="71"/>
      <c r="G22" s="74"/>
      <c r="H22" s="71" t="s">
        <v>523</v>
      </c>
      <c r="I22" s="71">
        <v>5</v>
      </c>
      <c r="J22" s="71" t="s">
        <v>434</v>
      </c>
      <c r="K22" s="71">
        <f t="shared" si="0"/>
        <v>5</v>
      </c>
      <c r="L22" s="71" t="s">
        <v>435</v>
      </c>
      <c r="M22" s="71">
        <v>300</v>
      </c>
      <c r="N22" s="72">
        <f t="shared" si="1"/>
        <v>1500</v>
      </c>
      <c r="O22" s="64"/>
      <c r="P22" s="64"/>
      <c r="Q22" s="64" t="s">
        <v>67</v>
      </c>
      <c r="R22" s="64"/>
    </row>
    <row r="23" spans="1:21" x14ac:dyDescent="0.2">
      <c r="A23" s="74"/>
      <c r="B23" s="74"/>
      <c r="C23" s="74"/>
      <c r="D23" s="70"/>
      <c r="E23" s="71"/>
      <c r="F23" s="71"/>
      <c r="G23" s="74"/>
      <c r="H23" s="71" t="s">
        <v>524</v>
      </c>
      <c r="I23" s="71">
        <v>2</v>
      </c>
      <c r="J23" s="71" t="s">
        <v>443</v>
      </c>
      <c r="K23" s="71">
        <f t="shared" si="0"/>
        <v>2</v>
      </c>
      <c r="L23" s="71" t="s">
        <v>435</v>
      </c>
      <c r="M23" s="71">
        <v>350</v>
      </c>
      <c r="N23" s="72">
        <f t="shared" si="1"/>
        <v>700</v>
      </c>
      <c r="O23" s="64"/>
      <c r="P23" s="64"/>
      <c r="Q23" s="64"/>
      <c r="R23" s="64"/>
    </row>
    <row r="24" spans="1:21" x14ac:dyDescent="0.2">
      <c r="A24" s="74"/>
      <c r="B24" s="74"/>
      <c r="C24" s="74"/>
      <c r="D24" s="70"/>
      <c r="E24" s="71"/>
      <c r="F24" s="71"/>
      <c r="G24" s="74"/>
      <c r="H24" s="71" t="s">
        <v>525</v>
      </c>
      <c r="I24" s="71">
        <v>15</v>
      </c>
      <c r="J24" s="71" t="s">
        <v>444</v>
      </c>
      <c r="K24" s="71">
        <f t="shared" si="0"/>
        <v>15</v>
      </c>
      <c r="L24" s="71" t="s">
        <v>435</v>
      </c>
      <c r="M24" s="71">
        <v>350</v>
      </c>
      <c r="N24" s="72">
        <f t="shared" si="1"/>
        <v>5250</v>
      </c>
      <c r="O24" s="64"/>
      <c r="P24" s="64"/>
      <c r="Q24" s="64"/>
      <c r="R24" s="64"/>
    </row>
    <row r="25" spans="1:21" x14ac:dyDescent="0.2">
      <c r="A25" s="74"/>
      <c r="B25" s="74"/>
      <c r="C25" s="74"/>
      <c r="D25" s="70"/>
      <c r="E25" s="71"/>
      <c r="F25" s="71"/>
      <c r="G25" s="74"/>
      <c r="H25" s="71" t="s">
        <v>526</v>
      </c>
      <c r="I25" s="71">
        <v>2</v>
      </c>
      <c r="J25" s="71" t="s">
        <v>533</v>
      </c>
      <c r="K25" s="71">
        <f t="shared" si="0"/>
        <v>2</v>
      </c>
      <c r="L25" s="71" t="s">
        <v>435</v>
      </c>
      <c r="M25" s="71">
        <v>300</v>
      </c>
      <c r="N25" s="72">
        <f t="shared" si="1"/>
        <v>600</v>
      </c>
      <c r="O25" s="64"/>
      <c r="P25" s="64"/>
      <c r="Q25" s="64"/>
      <c r="R25" s="64"/>
    </row>
    <row r="26" spans="1:21" x14ac:dyDescent="0.2">
      <c r="A26" s="74"/>
      <c r="B26" s="74"/>
      <c r="C26" s="74"/>
      <c r="D26" s="75"/>
      <c r="E26" s="71"/>
      <c r="F26" s="71"/>
      <c r="G26" s="74"/>
      <c r="H26" s="71" t="s">
        <v>527</v>
      </c>
      <c r="I26" s="71">
        <v>2</v>
      </c>
      <c r="J26" s="71" t="s">
        <v>437</v>
      </c>
      <c r="K26" s="71">
        <f t="shared" si="0"/>
        <v>2</v>
      </c>
      <c r="L26" s="71" t="s">
        <v>435</v>
      </c>
      <c r="M26" s="71">
        <v>300</v>
      </c>
      <c r="N26" s="72">
        <f t="shared" si="1"/>
        <v>600</v>
      </c>
      <c r="O26" s="64"/>
      <c r="P26" s="64"/>
      <c r="Q26" s="64"/>
      <c r="R26" s="64"/>
    </row>
    <row r="27" spans="1:21" x14ac:dyDescent="0.2">
      <c r="A27" s="74"/>
      <c r="B27" s="74"/>
      <c r="C27" s="74"/>
      <c r="D27" s="75"/>
      <c r="E27" s="71"/>
      <c r="F27" s="71"/>
      <c r="G27" s="74"/>
      <c r="H27" s="71" t="s">
        <v>528</v>
      </c>
      <c r="I27" s="71">
        <v>2</v>
      </c>
      <c r="J27" s="71" t="s">
        <v>438</v>
      </c>
      <c r="K27" s="71">
        <f t="shared" si="0"/>
        <v>2</v>
      </c>
      <c r="L27" s="71" t="s">
        <v>435</v>
      </c>
      <c r="M27" s="71">
        <v>300</v>
      </c>
      <c r="N27" s="72">
        <f t="shared" si="1"/>
        <v>600</v>
      </c>
      <c r="O27" s="64"/>
      <c r="P27" s="64"/>
      <c r="Q27" s="64"/>
      <c r="R27" s="64"/>
    </row>
    <row r="28" spans="1:21" x14ac:dyDescent="0.2">
      <c r="A28" s="74"/>
      <c r="B28" s="74"/>
      <c r="C28" s="74"/>
      <c r="D28" s="75"/>
      <c r="E28" s="71"/>
      <c r="F28" s="71"/>
      <c r="G28" s="74"/>
      <c r="H28" s="71" t="s">
        <v>529</v>
      </c>
      <c r="I28" s="71">
        <v>2</v>
      </c>
      <c r="J28" s="71" t="s">
        <v>439</v>
      </c>
      <c r="K28" s="71">
        <f t="shared" si="0"/>
        <v>2</v>
      </c>
      <c r="L28" s="71" t="s">
        <v>435</v>
      </c>
      <c r="M28" s="71">
        <v>300</v>
      </c>
      <c r="N28" s="72">
        <f t="shared" si="1"/>
        <v>600</v>
      </c>
      <c r="O28" s="64"/>
      <c r="P28" s="64"/>
      <c r="Q28" s="64"/>
      <c r="R28" s="64"/>
    </row>
    <row r="29" spans="1:21" x14ac:dyDescent="0.2">
      <c r="A29" s="74"/>
      <c r="B29" s="74"/>
      <c r="C29" s="74"/>
      <c r="D29" s="75"/>
      <c r="E29" s="71"/>
      <c r="F29" s="71"/>
      <c r="G29" s="74"/>
      <c r="H29" s="71" t="s">
        <v>530</v>
      </c>
      <c r="I29" s="71">
        <v>2</v>
      </c>
      <c r="J29" s="71" t="s">
        <v>440</v>
      </c>
      <c r="K29" s="71">
        <f t="shared" si="0"/>
        <v>2</v>
      </c>
      <c r="L29" s="71" t="s">
        <v>435</v>
      </c>
      <c r="M29" s="71">
        <v>300</v>
      </c>
      <c r="N29" s="72">
        <f t="shared" si="1"/>
        <v>600</v>
      </c>
      <c r="O29" s="64"/>
      <c r="P29" s="64"/>
      <c r="Q29" s="64"/>
      <c r="R29" s="64"/>
    </row>
    <row r="30" spans="1:21" x14ac:dyDescent="0.2">
      <c r="A30" s="74"/>
      <c r="B30" s="74"/>
      <c r="C30" s="74"/>
      <c r="D30" s="75"/>
      <c r="E30" s="71"/>
      <c r="F30" s="71"/>
      <c r="G30" s="74"/>
      <c r="H30" s="71" t="s">
        <v>531</v>
      </c>
      <c r="I30" s="71">
        <v>2</v>
      </c>
      <c r="J30" s="71" t="s">
        <v>441</v>
      </c>
      <c r="K30" s="71">
        <f t="shared" si="0"/>
        <v>2</v>
      </c>
      <c r="L30" s="71" t="s">
        <v>435</v>
      </c>
      <c r="M30" s="71">
        <v>300</v>
      </c>
      <c r="N30" s="72">
        <f t="shared" si="1"/>
        <v>600</v>
      </c>
      <c r="O30" s="64"/>
      <c r="P30" s="64"/>
      <c r="Q30" s="64"/>
      <c r="R30" s="64"/>
    </row>
    <row r="31" spans="1:21" x14ac:dyDescent="0.2">
      <c r="A31" s="74"/>
      <c r="B31" s="74"/>
      <c r="C31" s="74"/>
      <c r="D31" s="75"/>
      <c r="E31" s="71"/>
      <c r="F31" s="71"/>
      <c r="G31" s="74"/>
      <c r="H31" s="71" t="s">
        <v>532</v>
      </c>
      <c r="I31" s="71">
        <v>2</v>
      </c>
      <c r="J31" s="71" t="s">
        <v>442</v>
      </c>
      <c r="K31" s="71">
        <f t="shared" si="0"/>
        <v>2</v>
      </c>
      <c r="L31" s="71" t="s">
        <v>435</v>
      </c>
      <c r="M31" s="71">
        <v>300</v>
      </c>
      <c r="N31" s="72">
        <f t="shared" si="1"/>
        <v>600</v>
      </c>
      <c r="O31" s="64"/>
      <c r="P31" s="64"/>
      <c r="Q31" s="64"/>
      <c r="R31" s="64"/>
    </row>
    <row r="32" spans="1:21" x14ac:dyDescent="0.2">
      <c r="A32" s="74"/>
      <c r="B32" s="74"/>
      <c r="C32" s="74"/>
      <c r="D32" s="75"/>
      <c r="E32" s="71"/>
      <c r="F32" s="71"/>
      <c r="G32" s="74"/>
      <c r="H32" s="71" t="s">
        <v>534</v>
      </c>
      <c r="I32" s="71">
        <v>5</v>
      </c>
      <c r="J32" s="71" t="s">
        <v>539</v>
      </c>
      <c r="K32" s="71">
        <f t="shared" si="0"/>
        <v>5</v>
      </c>
      <c r="L32" s="71" t="s">
        <v>435</v>
      </c>
      <c r="M32" s="71">
        <v>300</v>
      </c>
      <c r="N32" s="72">
        <f t="shared" si="1"/>
        <v>1500</v>
      </c>
      <c r="O32" s="64"/>
      <c r="P32" s="64"/>
      <c r="Q32" s="64"/>
      <c r="R32" s="64"/>
    </row>
    <row r="33" spans="1:18" x14ac:dyDescent="0.2">
      <c r="A33" s="64"/>
      <c r="B33" s="64"/>
      <c r="C33" s="64"/>
      <c r="D33" s="64"/>
      <c r="E33" s="64"/>
      <c r="F33" s="64"/>
      <c r="G33" s="64"/>
      <c r="H33" s="71" t="s">
        <v>535</v>
      </c>
      <c r="I33" s="71">
        <v>2</v>
      </c>
      <c r="J33" s="71" t="s">
        <v>536</v>
      </c>
      <c r="K33" s="71">
        <f t="shared" si="0"/>
        <v>2</v>
      </c>
      <c r="L33" s="71" t="s">
        <v>435</v>
      </c>
      <c r="M33" s="71">
        <v>300</v>
      </c>
      <c r="N33" s="72">
        <f t="shared" si="1"/>
        <v>600</v>
      </c>
      <c r="O33" s="64"/>
      <c r="P33" s="64"/>
      <c r="Q33" s="64"/>
      <c r="R33" s="64"/>
    </row>
    <row r="34" spans="1:18" x14ac:dyDescent="0.2">
      <c r="A34" s="64"/>
      <c r="B34" s="64"/>
      <c r="C34" s="64"/>
      <c r="D34" s="64"/>
      <c r="E34" s="64"/>
      <c r="F34" s="64"/>
      <c r="G34" s="64"/>
      <c r="H34" s="71" t="s">
        <v>537</v>
      </c>
      <c r="I34" s="71">
        <v>4</v>
      </c>
      <c r="J34" s="71" t="s">
        <v>538</v>
      </c>
      <c r="K34" s="71">
        <f t="shared" si="0"/>
        <v>4</v>
      </c>
      <c r="L34" s="71" t="s">
        <v>435</v>
      </c>
      <c r="M34" s="71">
        <v>300</v>
      </c>
      <c r="N34" s="72">
        <f t="shared" si="1"/>
        <v>1200</v>
      </c>
      <c r="O34" s="64"/>
      <c r="P34" s="64"/>
      <c r="Q34" s="64"/>
      <c r="R34" s="64"/>
    </row>
    <row r="35" spans="1:18" x14ac:dyDescent="0.2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76">
        <f>SUM(N5:N34)</f>
        <v>138950</v>
      </c>
      <c r="O35" s="64"/>
      <c r="P35" s="64"/>
      <c r="Q35" s="64"/>
      <c r="R35" s="64"/>
    </row>
  </sheetData>
  <autoFilter ref="K1:K35" xr:uid="{23AB9274-B06E-8A4D-A010-144AE2B669A2}"/>
  <mergeCells count="9">
    <mergeCell ref="L3:L4"/>
    <mergeCell ref="M3:M4"/>
    <mergeCell ref="N3:N4"/>
    <mergeCell ref="A1:K1"/>
    <mergeCell ref="A3:C3"/>
    <mergeCell ref="D3:F3"/>
    <mergeCell ref="H3:H4"/>
    <mergeCell ref="I3:I4"/>
    <mergeCell ref="J3:K3"/>
  </mergeCells>
  <phoneticPr fontId="3" type="noConversion"/>
  <conditionalFormatting sqref="L5:N5 M5:M34 L6:M7 N6:N34 L8:L34">
    <cfRule type="containsText" dxfId="0" priority="2" operator="containsText" text="Place Order">
      <formula>NOT(ISERROR(SEARCH("Place Order",L5)))</formula>
    </cfRule>
  </conditionalFormatting>
  <dataValidations count="2">
    <dataValidation type="list" allowBlank="1" showInputMessage="1" showErrorMessage="1" sqref="B30:B32 E11:E32" xr:uid="{DB417AA5-A06C-504D-8B1E-1A8B530D2183}">
      <formula1>$J$5:$J$22</formula1>
    </dataValidation>
    <dataValidation type="list" allowBlank="1" showInputMessage="1" showErrorMessage="1" sqref="B5:B29 E5:E10" xr:uid="{00EA6730-AC98-C345-8310-F144D88F86A9}">
      <formula1>$J$5:$J$34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 02 Mar</vt:lpstr>
      <vt:lpstr>FLR 02 May</vt:lpstr>
      <vt:lpstr>FR 02 May</vt:lpstr>
      <vt:lpstr>AR 03 Feb</vt:lpstr>
      <vt:lpstr>CR 06</vt:lpstr>
      <vt:lpstr>CBR 03 Feb</vt:lpstr>
      <vt:lpstr>PR 06 AD31</vt:lpstr>
      <vt:lpstr>PR 07 AD31</vt:lpstr>
      <vt:lpstr>PR 09 AD31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2025-06-20T10:03:33Z</dcterms:modified>
</cp:coreProperties>
</file>